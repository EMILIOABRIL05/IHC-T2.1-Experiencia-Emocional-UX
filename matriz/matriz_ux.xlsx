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994c538b9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UX" sheetId="1" r:id="R4cb5f6df126e4b99"/>
    <x:sheet xmlns:r="http://schemas.openxmlformats.org/officeDocument/2006/relationships" name="Verificación" sheetId="2" r:id="R1bf1f643e3804e3e"/>
    <x:sheet xmlns:r="http://schemas.openxmlformats.org/officeDocument/2006/relationships" name="Heurísticas" sheetId="3" r:id="R593adcb312e24bcb"/>
    <x:sheet xmlns:r="http://schemas.openxmlformats.org/officeDocument/2006/relationships" name="Datos de evaluación" sheetId="4" r:id="Rb0902b3dc7ed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13">
    <x:font>
      <x:sz val="11"/>
      <x:color theme="1"/>
      <x:name val="Calibri"/>
      <x:family val="2"/>
      <x:scheme val="minor"/>
    </x:font>
    <x:font>
      <x:b/>
      <x:sz val="13"/>
    </x:font>
    <x:font>
      <x:i/>
      <x:color rgb="FFB42318"/>
    </x:font>
    <x:font>
      <x:b/>
      <x:color rgb="FFFFFFFF"/>
    </x:font>
    <x:font>
      <x:b/>
    </x:font>
    <x:font>
      <x:b/>
      <x:sz val="12"/>
    </x:font>
    <x:font>
      <x:sz val="11"/>
      <x:color rgb="FF111827"/>
      <x:name val="Arial"/>
      <x:family val="2"/>
      <x:scheme val="minor"/>
    </x:font>
    <x:font>
      <x:b/>
      <x:sz val="15"/>
      <x:color rgb="FF111827"/>
      <x:name val="Arial"/>
      <x:family val="2"/>
      <x:scheme val="minor"/>
    </x:font>
    <x:font>
      <x:i/>
      <x:sz val="11"/>
      <x:color rgb="FF111827"/>
      <x:name val="Arial"/>
      <x:family val="2"/>
      <x:scheme val="minor"/>
    </x:font>
    <x:font>
      <x:b/>
      <x:sz val="11"/>
      <x:color rgb="FFFFFFFF"/>
      <x:name val="Arial"/>
      <x:family val="2"/>
      <x:scheme val="minor"/>
    </x:font>
    <x:font>
      <x:b/>
      <x:sz val="11"/>
      <x:color rgb="FF111827"/>
      <x:name val="Arial"/>
      <x:family val="2"/>
      <x:scheme val="minor"/>
    </x:font>
    <x:font>
      <x:i/>
      <x:sz val="11"/>
      <x:color rgb="FF374151"/>
      <x:name val="Arial"/>
    </x:font>
    <x:font>
      <x:i/>
      <x:sz val="11"/>
      <x:color rgb="FF374151"/>
      <x:name val="Arial"/>
      <x:family val="2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1F3A8A"/>
      </x:patternFill>
    </x:fill>
    <x:fill>
      <x:patternFill patternType="solid">
        <x:fgColor rgb="FF203C87"/>
      </x:patternFill>
    </x:fill>
    <x:fill>
      <x:patternFill patternType="solid">
        <x:fgColor rgb="FFFFF4CC"/>
      </x:patternFill>
    </x:fill>
    <x:fill>
      <x:patternFill patternType="solid">
        <x:fgColor rgb="FFE9EEF7"/>
      </x:patternFill>
    </x:fill>
  </x:fills>
  <x:borders count="2">
    <x:border>
      <x:left/>
      <x:right/>
      <x:top/>
      <x:bottom/>
      <x:diagonal/>
    </x:border>
    <x:border>
      <x:left style="thin">
        <x:color rgb="FFC9CFD8"/>
      </x:left>
      <x:right style="thin">
        <x:color rgb="FFC9CFD8"/>
      </x:right>
      <x:top style="thin">
        <x:color rgb="FFC9CFD8"/>
      </x:top>
      <x:bottom style="thin">
        <x:color rgb="FFC9CFD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4" fillId="0" borderId="1" xfId="0" applyAlignment="1">
      <x:alignment horizontal="center" vertical="top"/>
    </x:xf>
    <x:xf numFmtId="0" fontId="4" fillId="0" borderId="0" xfId="0"/>
    <x:xf numFmtId="0" fontId="3" fillId="2" borderId="1" xfId="0"/>
    <x:xf numFmtId="0" fontId="5" fillId="0" borderId="0" xfId="0"/>
    <x:xf numFmtId="0" fontId="0" fillId="0" borderId="1" xfId="0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0" fontId="10" fillId="5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horizontal="center" vertical="top"/>
    </x:xf>
    <x:xf numFmtId="201" fontId="4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d7a50693b4a1f" /><Relationship Type="http://schemas.openxmlformats.org/officeDocument/2006/relationships/theme" Target="/xl/theme/theme1.xml" Id="R42bd5f10d9804a91" /><Relationship Type="http://schemas.openxmlformats.org/officeDocument/2006/relationships/sharedStrings" Target="/xl/sharedStrings.xml" Id="R983ca540794348f8" /><Relationship Type="http://schemas.openxmlformats.org/officeDocument/2006/relationships/worksheet" Target="/xl/worksheets/sheet1.xml" Id="R4cb5f6df126e4b99" /><Relationship Type="http://schemas.openxmlformats.org/officeDocument/2006/relationships/worksheet" Target="/xl/worksheets/sheet2.xml" Id="R1bf1f643e3804e3e" /><Relationship Type="http://schemas.openxmlformats.org/officeDocument/2006/relationships/worksheet" Target="/xl/worksheets/sheet3.xml" Id="R593adcb312e24bcb" /><Relationship Type="http://schemas.openxmlformats.org/officeDocument/2006/relationships/worksheet" Target="/xl/worksheets/sheet4.xml" Id="Rb0902b3dc7ed4f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baseColWidth="8" defaultRowHeight="15"/>
  <x:cols>
    <x:col min="1" max="1" width="20" customWidth="1"/>
    <x:col min="2" max="2" width="10" customWidth="1"/>
    <x:col min="3" max="3" width="10" customWidth="1"/>
    <x:col min="4" max="4" width="20" customWidth="1"/>
    <x:col min="5" max="5" width="11" customWidth="1"/>
    <x:col min="6" max="6" width="50" customWidth="1"/>
    <x:col min="7" max="7" width="46" customWidth="1"/>
    <x:col min="8" max="8" width="46" customWidth="1"/>
    <x:col min="9" max="9" width="18" customWidth="1"/>
    <x:col min="10" max="10" width="11" customWidth="1"/>
    <x:col min="11" max="11" width="37" hidden="0" customWidth="1"/>
    <x:col min="12" max="12" width="18" hidden="0" customWidth="1"/>
  </x:cols>
  <x:sheetData>
    <x:row r="1">
      <x:c r="A1" s="1" t="inlineStr">
        <x:is>
          <x:t xml:space="preserve">Matriz UX · momento / emoción / evidencia / mejora · Pantalla «Mapa» (B-4) · SuperOfertas Ecuador</x:t>
        </x:is>
      </x:c>
    </x:row>
    <x:row r="2" ht="32" customHeight="1">
      <x:c r="A2" s="33" t="str">
        <x:v>Emociones anotadas y medias de los 30 registros publicados. Escala de −3 a +3. Los resultados describen la versión evaluada; las correcciones posteriores se documentan en rediseño/correcciones_pendientes.md.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4" ht="42" customHeight="1">
      <x:c r="A4" s="3" t="inlineStr">
        <x:is>
          <x:t xml:space="preserve">Momento</x:t>
        </x:is>
      </x:c>
      <x:c r="B4" s="3" t="inlineStr">
        <x:is>
          <x:t xml:space="preserve">Fase</x:t>
        </x:is>
      </x:c>
      <x:c r="C4" s="3" t="inlineStr">
        <x:is>
          <x:t xml:space="preserve">Captura</x:t>
        </x:is>
      </x:c>
      <x:c r="D4" s="3" t="str">
        <x:v>Emociones anotadas en A</x:v>
      </x:c>
      <x:c r="E4" s="3" t="str">
        <x:v>Media A original</x:v>
      </x:c>
      <x:c r="F4" s="3" t="inlineStr">
        <x:is>
          <x:t xml:space="preserve">Evidencia observable en la interfaz</x:t>
        </x:is>
      </x:c>
      <x:c r="G4" s="3" t="inlineStr">
        <x:is>
          <x:t xml:space="preserve">Mejora propuesta</x:t>
        </x:is>
      </x:c>
      <x:c r="H4" s="3" t="inlineStr">
        <x:is>
          <x:t xml:space="preserve">Principio IHC que la fundamenta</x:t>
        </x:is>
      </x:c>
      <x:c r="I4" s="3" t="str">
        <x:v>Emociones anotadas en B</x:v>
      </x:c>
      <x:c r="J4" s="3" t="str">
        <x:v>Media B rediseño</x:v>
      </x:c>
      <x:c r="K4" s="3" t="str">
        <x:v>Resultado en B</x:v>
      </x:c>
      <x:c r="L4" s="3" t="str">
        <x:v>Diferencia B menos A</x:v>
      </x:c>
    </x:row>
    <x:row r="5" ht="110" customHeight="1">
      <x:c r="A5" s="4" t="inlineStr">
        <x:is>
          <x:t xml:space="preserve">M1 · Ingreso</x:t>
        </x:is>
      </x:c>
      <x:c r="B5" s="4" t="inlineStr">
        <x:is>
          <x:t xml:space="preserve">Antes</x:t>
        </x:is>
      </x:c>
      <x:c r="C5" s="4" t="inlineStr">
        <x:is>
          <x:t xml:space="preserve">C1, C2</x:t>
        </x:is>
      </x:c>
      <x:c r="D5" s="4" t="str">
        <x:v>Presión / Neutralidad / Desconfianza</x:v>
      </x:c>
      <x:c r="E5" s="35" t="n">
        <x:f>'Datos de evaluación'!B39</x:f>
        <x:v>-0.6666666666666666</x:v>
      </x:c>
      <x:c r="F5" s="4" t="inlineStr">
        <x:is>
          <x:t xml:space="preserve">Banner rojo «¡OFERTA ÚNICA!», cuenta regresiva 09:59 activa y «¡¡No pierdas la Ofertta!!» en un paso de verificación; errores ortográficos y tres tipografías mezcladas; el título no dice qué hacer.</x:t>
        </x:is>
      </x:c>
      <x:c r="G5" s="4" t="inlineStr">
        <x:is>
          <x:t xml:space="preserve">M1: encabezado sobrio y aviso de precio reservado, sin cuenta regresiva. M3: título orientado a la tarea con una instrucción breve.</x:t>
        </x:is>
      </x:c>
      <x:c r="H5" s="4" t="inlineStr">
        <x:is>
          <x:t xml:space="preserve">Nielsen H8 (diseño estético y minimalista) y H2; diseño emocional, nivel visceral [1]; evitar patrones engañosos de urgencia [7].</x:t>
        </x:is>
      </x:c>
      <x:c r="I5" s="4" t="str">
        <x:v>Tranquilidad</x:v>
      </x:c>
      <x:c r="J5" s="35" t="n">
        <x:f>'Datos de evaluación'!C39</x:f>
        <x:v>1</x:v>
      </x:c>
      <x:c r="K5" s="4" t="str">
        <x:f>IF('Datos de evaluación'!$I$37&lt;&gt;30,"Revisar registros",IF(COUNTIFS('Datos de evaluación'!$B$5:$B$34,"B_rediseno",'Datos de evaluación'!$C$5:$C$34,"M1",'Datos de evaluación'!$D$5:$D$34,"&lt;0")&gt;0,"B conserva valoraciones negativas",IF(J5=0,"Media neutra en B","B sin valoraciones negativas")))</x:f>
        <x:v>B sin valoraciones negativas</x:v>
      </x:c>
      <x:c r="L5" s="35" t="n">
        <x:f>'Datos de evaluación'!D39</x:f>
        <x:v>1.6666666666666665</x:v>
      </x:c>
    </x:row>
    <x:row r="6" ht="110" customHeight="1">
      <x:c r="A6" s="4" t="inlineStr">
        <x:is>
          <x:t xml:space="preserve">M2 · Explorar el mapa</x:t>
        </x:is>
      </x:c>
      <x:c r="B6" s="4" t="inlineStr">
        <x:is>
          <x:t xml:space="preserve">Durante</x:t>
        </x:is>
      </x:c>
      <x:c r="C6" s="4" t="inlineStr">
        <x:is>
          <x:t xml:space="preserve">C3</x:t>
        </x:is>
      </x:c>
      <x:c r="D6" s="4" t="str">
        <x:v>Duda</x:v>
      </x:c>
      <x:c r="E6" s="35" t="n">
        <x:f>'Datos de evaluación'!B40</x:f>
        <x:v>-1.3333333333333333</x:v>
      </x:c>
      <x:c r="F6" s="4" t="inlineStr">
        <x:is>
          <x:t xml:space="preserve">El pin rojo está en la manzana superior derecha y el marcador «123 · Calle Inventada» en la inferior izquierda: el mapa contradice la dirección escrita. El pin es solo un contorno, sin etiqueta.</x:t>
        </x:is>
      </x:c>
      <x:c r="G6" s="4" t="inlineStr">
        <x:is>
          <x:t xml:space="preserve">M4: pin sólido sobre el lote de la dirección, lote resaltado, etiqueta «Tu entrega» e indicador «El pin coincide / está lejos de la dirección».</x:t>
        </x:is>
      </x:c>
      <x:c r="H6" s="4" t="inlineStr">
        <x:is>
          <x:t xml:space="preserve">Nielsen H1 (visibilidad del estado) y H2 (coincidencia con el mundo real); Gestalt de proximidad; brecha de evaluación [2].</x:t>
        </x:is>
      </x:c>
      <x:c r="I6" s="4" t="str">
        <x:v>Orientación / Confianza</x:v>
      </x:c>
      <x:c r="J6" s="35" t="n">
        <x:f>'Datos de evaluación'!C40</x:f>
        <x:v>1.3333333333333333</x:v>
      </x:c>
      <x:c r="K6" s="4" t="str">
        <x:f>IF('Datos de evaluación'!$I$37&lt;&gt;30,"Revisar registros",IF(COUNTIFS('Datos de evaluación'!$B$5:$B$34,"B_rediseno",'Datos de evaluación'!$C$5:$C$34,"M2",'Datos de evaluación'!$D$5:$D$34,"&lt;0")&gt;0,"B conserva valoraciones negativas",IF(J6=0,"Media neutra en B","B sin valoraciones negativas")))</x:f>
        <x:v>B sin valoraciones negativas</x:v>
      </x:c>
      <x:c r="L6" s="35" t="n">
        <x:f>'Datos de evaluación'!D40</x:f>
        <x:v>2.6666666666666665</x:v>
      </x:c>
    </x:row>
    <x:row r="7" ht="110" customHeight="1">
      <x:c r="A7" s="4" t="inlineStr">
        <x:is>
          <x:t xml:space="preserve">M3 · Ajustar / corregir</x:t>
        </x:is>
      </x:c>
      <x:c r="B7" s="4" t="inlineStr">
        <x:is>
          <x:t xml:space="preserve">Durante</x:t>
        </x:is>
      </x:c>
      <x:c r="C7" s="4" t="inlineStr">
        <x:is>
          <x:t xml:space="preserve">C4</x:t>
        </x:is>
      </x:c>
      <x:c r="D7" s="4" t="str">
        <x:v>Frustración</x:v>
      </x:c>
      <x:c r="E7" s="35" t="n">
        <x:f>'Datos de evaluación'!B41</x:f>
        <x:v>-2.3333333333333335</x:v>
      </x:c>
      <x:c r="F7" s="4" t="inlineStr">
        <x:is>
          <x:t xml:space="preserve">No hay buscador ni señal de que el pin se pueda arrastrar; los controles de zoom miden 32×30 px, no tienen etiqueta y su contraste es 2,2:1.</x:t>
        </x:is>
      </x:c>
      <x:c r="G7" s="4" t="inlineStr">
        <x:is>
          <x:t xml:space="preserve">M4: buscador de dirección y «Usar mi ubicación». M5: pista «Arrastra el pin para ajustarlo» y zoom de 44×44 px con borde.</x:t>
        </x:is>
      </x:c>
      <x:c r="H7" s="4" t="inlineStr">
        <x:is>
          <x:t xml:space="preserve">Nielsen H3 (control y libertad), H6 (reconocer antes que recordar) y H7; significantes [2]; Ley de Fitts [6]; WCAG 2.2 · 1.4.11 y 2.5.5 [4].</x:t>
        </x:is>
      </x:c>
      <x:c r="I7" s="4" t="str">
        <x:v>Neutralidad / Control / Duda</x:v>
      </x:c>
      <x:c r="J7" s="35" t="n">
        <x:f>'Datos de evaluación'!C41</x:f>
        <x:v>0</x:v>
      </x:c>
      <x:c r="K7" s="4" t="str">
        <x:f>IF('Datos de evaluación'!$I$37&lt;&gt;30,"Revisar registros",IF(COUNTIFS('Datos de evaluación'!$B$5:$B$34,"B_rediseno",'Datos de evaluación'!$C$5:$C$34,"M3",'Datos de evaluación'!$D$5:$D$34,"&lt;0")&gt;0,"B conserva valoraciones negativas",IF(J7=0,"Media neutra en B","B sin valoraciones negativas")))</x:f>
        <x:v>B conserva valoraciones negativas</x:v>
      </x:c>
      <x:c r="L7" s="35" t="n">
        <x:f>'Datos de evaluación'!D41</x:f>
        <x:v>2.3333333333333335</x:v>
      </x:c>
    </x:row>
    <x:row r="8" ht="110" customHeight="1">
      <x:c r="A8" s="4" t="inlineStr">
        <x:is>
          <x:t xml:space="preserve">M4 · Guardar / confirmar</x:t>
        </x:is>
      </x:c>
      <x:c r="B8" s="4" t="inlineStr">
        <x:is>
          <x:t xml:space="preserve">Durante</x:t>
        </x:is>
      </x:c>
      <x:c r="C8" s="4" t="inlineStr">
        <x:is>
          <x:t xml:space="preserve">C5, C6</x:t>
        </x:is>
      </x:c>
      <x:c r="D8" s="4" t="str">
        <x:v>Incertidumbre / Duda</x:v>
      </x:c>
      <x:c r="E8" s="35" t="n">
        <x:f>'Datos de evaluación'!B42</x:f>
        <x:v>-1.6666666666666667</x:v>
      </x:c>
      <x:c r="F8" s="4" t="inlineStr">
        <x:is>
          <x:t xml:space="preserve">«Guardar dirección» es gris sobre beige (2,3:1) y parece deshabilitado; al pulsarlo no ocurre nada visible. «OMITIR »» es 5,4 veces más grande y es la única forma de avanzar.</x:t>
        </x:is>
      </x:c>
      <x:c r="G8" s="4" t="inlineStr">
        <x:is>
          <x:t xml:space="preserve">M7: un único botón primario «Confirmar ubicación y continuar» (460×60 px, 6,6:1); se elimina «OMITIR» y «Volver» queda como acción secundaria.</x:t>
        </x:is>
      </x:c>
      <x:c r="H8" s="4" t="inlineStr">
        <x:is>
          <x:t xml:space="preserve">Nielsen H5 (prevención de errores); jerarquía visual y figura-fondo (Gestalt); WCAG 2.2 · 1.4.3 [4]; Ley de Fitts [6].</x:t>
        </x:is>
      </x:c>
      <x:c r="I8" s="4" t="str">
        <x:v>Seguridad</x:v>
      </x:c>
      <x:c r="J8" s="35" t="n">
        <x:f>'Datos de evaluación'!C42</x:f>
        <x:v>1.6666666666666667</x:v>
      </x:c>
      <x:c r="K8" s="4" t="str">
        <x:f>IF('Datos de evaluación'!$I$37&lt;&gt;30,"Revisar registros",IF(COUNTIFS('Datos de evaluación'!$B$5:$B$34,"B_rediseno",'Datos de evaluación'!$C$5:$C$34,"M4",'Datos de evaluación'!$D$5:$D$34,"&lt;0")&gt;0,"B conserva valoraciones negativas",IF(J8=0,"Media neutra en B","B sin valoraciones negativas")))</x:f>
        <x:v>B sin valoraciones negativas</x:v>
      </x:c>
      <x:c r="L8" s="35" t="n">
        <x:f>'Datos de evaluación'!D42</x:f>
        <x:v>3.3333333333333335</x:v>
      </x:c>
    </x:row>
    <x:row r="9" ht="110" customHeight="1">
      <x:c r="A9" s="4" t="inlineStr">
        <x:is>
          <x:t xml:space="preserve">M5 · Finalizar</x:t>
        </x:is>
      </x:c>
      <x:c r="B9" s="4" t="inlineStr">
        <x:is>
          <x:t xml:space="preserve">Después</x:t>
        </x:is>
      </x:c>
      <x:c r="C9" s="4" t="inlineStr">
        <x:is>
          <x:t xml:space="preserve">C6, B-5</x:t>
        </x:is>
      </x:c>
      <x:c r="D9" s="4" t="str">
        <x:v>Inseguridad / Neutralidad</x:v>
      </x:c>
      <x:c r="E9" s="35" t="n">
        <x:f>'Datos de evaluación'!B43</x:f>
        <x:v>-0.6666666666666666</x:v>
      </x:c>
      <x:c r="F9" s="4" t="inlineStr">
        <x:is>
          <x:t xml:space="preserve">Tras guardar u omitir no hay mensaje de confirmación y el indicador de pasos no marca pasos completados; solo en el paso 5 se vuelve a ver la dirección en el resumen.</x:t>
        </x:is>
      </x:c>
      <x:c r="G9" s="4" t="inlineStr">
        <x:is>
          <x:t xml:space="preserve">M8: mensaje «Ubicación guardada correctamente» con la dirección y «Deshacer»; el paso 4 se marca con ✓. M2: indicador de pasos con estado.</x:t>
        </x:is>
      </x:c>
      <x:c r="H9" s="4" t="inlineStr">
        <x:is>
          <x:t xml:space="preserve">Nielsen H1 (retroalimentación) y H3 (deshacer); diseño emocional, nivel reflexivo [1]; satisfacción según ISO 9241-11 [5].</x:t>
        </x:is>
      </x:c>
      <x:c r="I9" s="4" t="str">
        <x:v>Tranquilidad / Satisfacción</x:v>
      </x:c>
      <x:c r="J9" s="35" t="n">
        <x:f>'Datos de evaluación'!C43</x:f>
        <x:v>1.3333333333333333</x:v>
      </x:c>
      <x:c r="K9" s="4" t="str">
        <x:f>IF('Datos de evaluación'!$I$37&lt;&gt;30,"Revisar registros",IF(COUNTIFS('Datos de evaluación'!$B$5:$B$34,"B_rediseno",'Datos de evaluación'!$C$5:$C$34,"M5",'Datos de evaluación'!$D$5:$D$34,"&lt;0")&gt;0,"B conserva valoraciones negativas",IF(J9=0,"Media neutra en B","B sin valoraciones negativas")))</x:f>
        <x:v>B sin valoraciones negativas</x:v>
      </x:c>
      <x:c r="L9" s="35" t="n">
        <x:f>'Datos de evaluación'!D43</x:f>
        <x:v>2</x:v>
      </x:c>
    </x:row>
    <x:row r="10">
      <x:c r="D10" s="6" t="str">
        <x:v>Media global</x:v>
      </x:c>
      <x:c r="E10" s="36" t="n">
        <x:f>'Datos de evaluación'!B44</x:f>
        <x:v>-1.3333333333333333</x:v>
      </x:c>
      <x:c r="J10" s="36" t="n">
        <x:f>'Datos de evaluación'!C44</x:f>
        <x:v>1.0666666666666667</x:v>
      </x:c>
      <x:c r="K10"/>
      <x:c r="L10" s="36" t="n">
        <x:f>'Datos de evaluación'!D44</x:f>
        <x:v>2.4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22" customWidth="1"/>
    <x:col min="3" max="3" width="36" customWidth="1"/>
    <x:col min="4" max="4" width="26" customWidth="1"/>
    <x:col min="5" max="5" width="12" customWidth="1"/>
    <x:col min="6" max="6" width="18" customWidth="1"/>
  </x:cols>
  <x:sheetData>
    <x:row r="1">
      <x:c r="A1" s="1" t="inlineStr">
        <x:is>
          <x:t xml:space="preserve">Verificación del rediseño por inspección (valores medidos sobre los diseños)</x:t>
        </x:is>
      </x:c>
    </x:row>
    <x:row r="3">
      <x:c r="A3" s="7" t="inlineStr">
        <x:is>
          <x:t xml:space="preserve">Criterio</x:t>
        </x:is>
      </x:c>
      <x:c r="B3" s="7" t="inlineStr">
        <x:is>
          <x:t xml:space="preserve">Original</x:t>
        </x:is>
      </x:c>
      <x:c r="C3" s="7" t="inlineStr">
        <x:is>
          <x:t xml:space="preserve">Rediseño</x:t>
        </x:is>
      </x:c>
      <x:c r="D3" s="7" t="inlineStr">
        <x:is>
          <x:t xml:space="preserve">Referencia</x:t>
        </x:is>
      </x:c>
    </x:row>
    <x:row r="4">
      <x:c r="A4" s="4" t="inlineStr">
        <x:is>
          <x:t xml:space="preserve">Contraste del botón para guardar/confirmar</x:t>
        </x:is>
      </x:c>
      <x:c r="B4" s="4" t="inlineStr">
        <x:is>
          <x:t xml:space="preserve">2,3:1</x:t>
        </x:is>
      </x:c>
      <x:c r="C4" s="4" t="inlineStr">
        <x:is>
          <x:t xml:space="preserve">6,6:1</x:t>
        </x:is>
      </x:c>
      <x:c r="D4" s="4" t="inlineStr">
        <x:is>
          <x:t xml:space="preserve">WCAG 1.4.3 (≥ 4,5:1)</x:t>
        </x:is>
      </x:c>
    </x:row>
    <x:row r="5">
      <x:c r="A5" s="4" t="inlineStr">
        <x:is>
          <x:t xml:space="preserve">Contraste de los controles de zoom</x:t>
        </x:is>
      </x:c>
      <x:c r="B5" s="4" t="inlineStr">
        <x:is>
          <x:t xml:space="preserve">2,2:1</x:t>
        </x:is>
      </x:c>
      <x:c r="C5" s="4" t="inlineStr">
        <x:is>
          <x:t xml:space="preserve">4,0:1 (borde) · 16,5:1 (ícono)</x:t>
        </x:is>
      </x:c>
      <x:c r="D5" s="4" t="inlineStr">
        <x:is>
          <x:t xml:space="preserve">WCAG 1.4.11 (≥ 3:1)</x:t>
        </x:is>
      </x:c>
    </x:row>
    <x:row r="6">
      <x:c r="A6" s="4" t="inlineStr">
        <x:is>
          <x:t xml:space="preserve">Contraste de la etiqueta «Dirección»</x:t>
        </x:is>
      </x:c>
      <x:c r="B6" s="4" t="inlineStr">
        <x:is>
          <x:t xml:space="preserve">3,3:1</x:t>
        </x:is>
      </x:c>
      <x:c r="C6" s="4" t="inlineStr">
        <x:is>
          <x:t xml:space="preserve">7,8:1</x:t>
        </x:is>
      </x:c>
      <x:c r="D6" s="4" t="inlineStr">
        <x:is>
          <x:t xml:space="preserve">WCAG 1.4.3 (≥ 4,5:1)</x:t>
        </x:is>
      </x:c>
    </x:row>
    <x:row r="7">
      <x:c r="A7" s="4" t="inlineStr">
        <x:is>
          <x:t xml:space="preserve">Tamaño de los botones de zoom</x:t>
        </x:is>
      </x:c>
      <x:c r="B7" s="4" t="inlineStr">
        <x:is>
          <x:t xml:space="preserve">32 × 30 px</x:t>
        </x:is>
      </x:c>
      <x:c r="C7" s="4" t="inlineStr">
        <x:is>
          <x:t xml:space="preserve">44 × 44 px</x:t>
        </x:is>
      </x:c>
      <x:c r="D7" s="4" t="inlineStr">
        <x:is>
          <x:t xml:space="preserve">WCAG 2.5.5 (44 × 44 px)</x:t>
        </x:is>
      </x:c>
    </x:row>
    <x:row r="8">
      <x:c r="A8" s="4" t="inlineStr">
        <x:is>
          <x:t xml:space="preserve">Tamaño del botón para guardar/confirmar</x:t>
        </x:is>
      </x:c>
      <x:c r="B8" s="4" t="inlineStr">
        <x:is>
          <x:t xml:space="preserve">142 × 30 px</x:t>
        </x:is>
      </x:c>
      <x:c r="C8" s="4" t="inlineStr">
        <x:is>
          <x:t xml:space="preserve">460 × 60 px</x:t>
        </x:is>
      </x:c>
      <x:c r="D8" s="4" t="inlineStr">
        <x:is>
          <x:t xml:space="preserve">Ley de Fitts</x:t>
        </x:is>
      </x:c>
    </x:row>
    <x:row r="9">
      <x:c r="A9" s="4" t="inlineStr">
        <x:is>
          <x:t xml:space="preserve">Tamaño de «OMITIR» frente al botón de guardar</x:t>
        </x:is>
      </x:c>
      <x:c r="B9" s="4" t="inlineStr">
        <x:is>
          <x:t xml:space="preserve">5,4 veces mayor</x:t>
        </x:is>
      </x:c>
      <x:c r="C9" s="4" t="inlineStr">
        <x:is>
          <x:t xml:space="preserve">«OMITIR» eliminado</x:t>
        </x:is>
      </x:c>
      <x:c r="D9" s="4" t="inlineStr">
        <x:is>
          <x:t xml:space="preserve">Nielsen H5</x:t>
        </x:is>
      </x:c>
    </x:row>
    <x:row r="10">
      <x:c r="A10" s="4" t="inlineStr">
        <x:is>
          <x:t xml:space="preserve">El pin coincide con la dirección escrita</x:t>
        </x:is>
      </x:c>
      <x:c r="B10" s="4" t="inlineStr">
        <x:is>
          <x:t xml:space="preserve">No</x:t>
        </x:is>
      </x:c>
      <x:c r="C10" s="4" t="inlineStr">
        <x:is>
          <x:t xml:space="preserve">Sí, con indicador de estado</x:t>
        </x:is>
      </x:c>
      <x:c r="D10" s="4" t="inlineStr">
        <x:is>
          <x:t xml:space="preserve">Nielsen H1, H2</x:t>
        </x:is>
      </x:c>
    </x:row>
    <x:row r="11">
      <x:c r="A11" s="4" t="inlineStr">
        <x:is>
          <x:t xml:space="preserve">Medios visibles para corregir la ubicación</x:t>
        </x:is>
      </x:c>
      <x:c r="B11" s="4" t="inlineStr">
        <x:is>
          <x:t xml:space="preserve">0</x:t>
        </x:is>
      </x:c>
      <x:c r="C11" s="4" t="inlineStr">
        <x:is>
          <x:t xml:space="preserve">3 (buscar, mi ubicación, arrastrar)</x:t>
        </x:is>
      </x:c>
      <x:c r="D11" s="4" t="inlineStr">
        <x:is>
          <x:t xml:space="preserve">Nielsen H3, H6</x:t>
        </x:is>
      </x:c>
    </x:row>
    <x:row r="12">
      <x:c r="A12" s="4" t="inlineStr">
        <x:is>
          <x:t xml:space="preserve">Retroalimentación al guardar</x:t>
        </x:is>
      </x:c>
      <x:c r="B12" s="4" t="inlineStr">
        <x:is>
          <x:t xml:space="preserve">Ninguna</x:t>
        </x:is>
      </x:c>
      <x:c r="C12" s="4" t="inlineStr">
        <x:is>
          <x:t xml:space="preserve">Mensaje, ✓ en el paso y «Deshacer»</x:t>
        </x:is>
      </x:c>
      <x:c r="D12" s="4" t="inlineStr">
        <x:is>
          <x:t xml:space="preserve">Nielsen H1, H3</x:t>
        </x:is>
      </x:c>
    </x:row>
    <x:row r="13">
      <x:c r="A13" s="4" t="inlineStr">
        <x:is>
          <x:t xml:space="preserve">Elementos de urgencia o presión</x:t>
        </x:is>
      </x:c>
      <x:c r="B13" s="4" t="inlineStr">
        <x:is>
          <x:t xml:space="preserve">3</x:t>
        </x:is>
      </x:c>
      <x:c r="C13" s="4" t="inlineStr">
        <x:is>
          <x:t xml:space="preserve">0</x:t>
        </x:is>
      </x:c>
      <x:c r="D13" s="4" t="inlineStr">
        <x:is>
          <x:t xml:space="preserve">Patrones engañosos [7]</x:t>
        </x:is>
      </x:c>
    </x:row>
    <x:row r="14">
      <x:c r="A14" s="4" t="inlineStr">
        <x:is>
          <x:t xml:space="preserve">Errores ortográficos visibles</x:t>
        </x:is>
      </x:c>
      <x:c r="B14" s="4" t="inlineStr">
        <x:is>
          <x:t xml:space="preserve">3</x:t>
        </x:is>
      </x:c>
      <x:c r="C14" s="4" t="inlineStr">
        <x:is>
          <x:t xml:space="preserve">0</x:t>
        </x:is>
      </x:c>
      <x:c r="D14" s="4" t="inlineStr">
        <x:is>
          <x:t xml:space="preserve">Credibilidad</x:t>
        </x:is>
      </x:c>
    </x:row>
    <x:row r="15">
      <x:c r="A15" s="4" t="inlineStr">
        <x:is>
          <x:t xml:space="preserve">Familias tipográficas</x:t>
        </x:is>
      </x:c>
      <x:c r="B15" s="4" t="inlineStr">
        <x:is>
          <x:t xml:space="preserve">3</x:t>
        </x:is>
      </x:c>
      <x:c r="C15" s="4" t="inlineStr">
        <x:is>
          <x:t xml:space="preserve">1</x:t>
        </x:is>
      </x:c>
      <x:c r="D15" s="4" t="inlineStr">
        <x:is>
          <x:t xml:space="preserve">Nielsen H4</x:t>
        </x:is>
      </x:c>
    </x:row>
    <x:row r="16">
      <x:c r="A16" s="4" t="inlineStr">
        <x:is>
          <x:t xml:space="preserve">Heurísticas de Nielsen con hallazgos</x:t>
        </x:is>
      </x:c>
      <x:c r="B16" s="4" t="inlineStr">
        <x:is>
          <x:t xml:space="preserve">8 de 10</x:t>
        </x:is>
      </x:c>
      <x:c r="C16" s="4" t="inlineStr">
        <x:is>
          <x:t xml:space="preserve">Atendidas en el diseño</x:t>
        </x:is>
      </x:c>
      <x:c r="D16" s="4" t="inlineStr">
        <x:is>
          <x:t xml:space="preserve">Ver tabla 6</x:t>
        </x:is>
      </x:c>
    </x:row>
    <x:row r="19">
      <x:c r="A19" s="8" t="inlineStr">
        <x:is>
          <x:t xml:space="preserve">Contraste WCAG calculado</x:t>
        </x:is>
      </x:c>
    </x:row>
    <x:row r="20">
      <x:c r="A20" s="7" t="inlineStr">
        <x:is>
          <x:t xml:space="preserve">Elemento</x:t>
        </x:is>
      </x:c>
      <x:c r="B20" s="7" t="inlineStr">
        <x:is>
          <x:t xml:space="preserve">Versión</x:t>
        </x:is>
      </x:c>
      <x:c r="C20" s="7" t="inlineStr">
        <x:is>
          <x:t xml:space="preserve">Texto</x:t>
        </x:is>
      </x:c>
      <x:c r="D20" s="7" t="inlineStr">
        <x:is>
          <x:t xml:space="preserve">Fondo</x:t>
        </x:is>
      </x:c>
      <x:c r="E20" s="7" t="inlineStr">
        <x:is>
          <x:t xml:space="preserve">Contraste</x:t>
        </x:is>
      </x:c>
      <x:c r="F20" s="7" t="inlineStr">
        <x:is>
          <x:t xml:space="preserve">Requisito</x:t>
        </x:is>
      </x:c>
    </x:row>
    <x:row r="21">
      <x:c r="A21" s="9" t="inlineStr">
        <x:is>
          <x:t xml:space="preserve">«Guardar dirección»</x:t>
        </x:is>
      </x:c>
      <x:c r="B21" s="9" t="inlineStr">
        <x:is>
          <x:t xml:space="preserve">Original</x:t>
        </x:is>
      </x:c>
      <x:c r="C21" s="9" t="inlineStr">
        <x:is>
          <x:t xml:space="preserve">#888772</x:t>
        </x:is>
      </x:c>
      <x:c r="D21" s="9" t="inlineStr">
        <x:is>
          <x:t xml:space="preserve">#CECFAD</x:t>
        </x:is>
      </x:c>
      <x:c r="E21" s="9" t="inlineStr">
        <x:is>
          <x:t xml:space="preserve">2,3:1</x:t>
        </x:is>
      </x:c>
      <x:c r="F21" s="9" t="inlineStr">
        <x:is>
          <x:t xml:space="preserve">≥ 4,5:1 (1.4.3)</x:t>
        </x:is>
      </x:c>
    </x:row>
    <x:row r="22">
      <x:c r="A22" s="9" t="inlineStr">
        <x:is>
          <x:t xml:space="preserve">Botones de zoom (+/−)</x:t>
        </x:is>
      </x:c>
      <x:c r="B22" s="9" t="inlineStr">
        <x:is>
          <x:t xml:space="preserve">Original</x:t>
        </x:is>
      </x:c>
      <x:c r="C22" s="9" t="inlineStr">
        <x:is>
          <x:t xml:space="preserve">#8E8B78</x:t>
        </x:is>
      </x:c>
      <x:c r="D22" s="9" t="inlineStr">
        <x:is>
          <x:t xml:space="preserve">#CFD0A8</x:t>
        </x:is>
      </x:c>
      <x:c r="E22" s="9" t="inlineStr">
        <x:is>
          <x:t xml:space="preserve">2,2:1</x:t>
        </x:is>
      </x:c>
      <x:c r="F22" s="9" t="inlineStr">
        <x:is>
          <x:t xml:space="preserve">≥ 3:1 (1.4.11)</x:t>
        </x:is>
      </x:c>
    </x:row>
    <x:row r="23">
      <x:c r="A23" s="9" t="inlineStr">
        <x:is>
          <x:t xml:space="preserve">Etiqueta «Dirección»</x:t>
        </x:is>
      </x:c>
      <x:c r="B23" s="9" t="inlineStr">
        <x:is>
          <x:t xml:space="preserve">Original</x:t>
        </x:is>
      </x:c>
      <x:c r="C23" s="9" t="inlineStr">
        <x:is>
          <x:t xml:space="preserve">#8A8B00</x:t>
        </x:is>
      </x:c>
      <x:c r="D23" s="9" t="inlineStr">
        <x:is>
          <x:t xml:space="preserve">#F2FF00</x:t>
        </x:is>
      </x:c>
      <x:c r="E23" s="9" t="inlineStr">
        <x:is>
          <x:t xml:space="preserve">3,3:1</x:t>
        </x:is>
      </x:c>
      <x:c r="F23" s="9" t="inlineStr">
        <x:is>
          <x:t xml:space="preserve">≥ 4,5:1 (1.4.3)</x:t>
        </x:is>
      </x:c>
    </x:row>
    <x:row r="24">
      <x:c r="A24" s="9" t="inlineStr">
        <x:is>
          <x:t xml:space="preserve">Botón «Confirmar ubicación»</x:t>
        </x:is>
      </x:c>
      <x:c r="B24" s="9" t="inlineStr">
        <x:is>
          <x:t xml:space="preserve">Rediseño</x:t>
        </x:is>
      </x:c>
      <x:c r="C24" s="9" t="inlineStr">
        <x:is>
          <x:t xml:space="preserve">#FFFFFF</x:t>
        </x:is>
      </x:c>
      <x:c r="D24" s="9" t="inlineStr">
        <x:is>
          <x:t xml:space="preserve">#1F4FD8</x:t>
        </x:is>
      </x:c>
      <x:c r="E24" s="9" t="inlineStr">
        <x:is>
          <x:t xml:space="preserve">6,6:1</x:t>
        </x:is>
      </x:c>
      <x:c r="F24" s="9" t="inlineStr">
        <x:is>
          <x:t xml:space="preserve">≥ 4,5:1 (1.4.3)</x:t>
        </x:is>
      </x:c>
    </x:row>
    <x:row r="25">
      <x:c r="A25" s="9" t="inlineStr">
        <x:is>
          <x:t xml:space="preserve">Texto secundario</x:t>
        </x:is>
      </x:c>
      <x:c r="B25" s="9" t="inlineStr">
        <x:is>
          <x:t xml:space="preserve">Rediseño</x:t>
        </x:is>
      </x:c>
      <x:c r="C25" s="9" t="inlineStr">
        <x:is>
          <x:t xml:space="preserve">#4A5363</x:t>
        </x:is>
      </x:c>
      <x:c r="D25" s="9" t="inlineStr">
        <x:is>
          <x:t xml:space="preserve">#FFFFFF</x:t>
        </x:is>
      </x:c>
      <x:c r="E25" s="9" t="inlineStr">
        <x:is>
          <x:t xml:space="preserve">7,8:1</x:t>
        </x:is>
      </x:c>
      <x:c r="F25" s="9" t="inlineStr">
        <x:is>
          <x:t xml:space="preserve">≥ 4,5:1 (1.4.3)</x:t>
        </x:is>
      </x:c>
    </x:row>
    <x:row r="26">
      <x:c r="A26" s="9" t="inlineStr">
        <x:is>
          <x:t xml:space="preserve">Estado «El pin coincide»</x:t>
        </x:is>
      </x:c>
      <x:c r="B26" s="9" t="inlineStr">
        <x:is>
          <x:t xml:space="preserve">Rediseño</x:t>
        </x:is>
      </x:c>
      <x:c r="C26" s="9" t="inlineStr">
        <x:is>
          <x:t xml:space="preserve">#17693E</x:t>
        </x:is>
      </x:c>
      <x:c r="D26" s="9" t="inlineStr">
        <x:is>
          <x:t xml:space="preserve">#E7F5EC</x:t>
        </x:is>
      </x:c>
      <x:c r="E26" s="9" t="inlineStr">
        <x:is>
          <x:t xml:space="preserve">6,0:1</x:t>
        </x:is>
      </x:c>
      <x:c r="F26" s="9" t="inlineStr">
        <x:is>
          <x:t xml:space="preserve">≥ 4,5:1 (1.4.3)</x:t>
        </x:is>
      </x:c>
    </x:row>
    <x:row r="27">
      <x:c r="A27" s="9" t="inlineStr">
        <x:is>
          <x:t xml:space="preserve">Borde de zoom y campos</x:t>
        </x:is>
      </x:c>
      <x:c r="B27" s="9" t="inlineStr">
        <x:is>
          <x:t xml:space="preserve">Rediseño</x:t>
        </x:is>
      </x:c>
      <x:c r="C27" s="9" t="inlineStr">
        <x:is>
          <x:t xml:space="preserve">#767F90</x:t>
        </x:is>
      </x:c>
      <x:c r="D27" s="9" t="inlineStr">
        <x:is>
          <x:t xml:space="preserve">#FFFFFF</x:t>
        </x:is>
      </x:c>
      <x:c r="E27" s="9" t="inlineStr">
        <x:is>
          <x:t xml:space="preserve">4,0:1</x:t>
        </x:is>
      </x:c>
      <x:c r="F27" s="9" t="inlineStr">
        <x:is>
          <x:t xml:space="preserve">≥ 3:1 (1.4.11)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55" customWidth="1"/>
    <x:col min="3" max="3" width="55" customWidth="1"/>
  </x:cols>
  <x:sheetData>
    <x:row r="1">
      <x:c r="A1" s="7" t="inlineStr">
        <x:is>
          <x:t xml:space="preserve">Heurística (Nielsen)</x:t>
        </x:is>
      </x:c>
      <x:c r="B1" s="7" t="inlineStr">
        <x:is>
          <x:t xml:space="preserve">Hallazgo en el original</x:t>
        </x:is>
      </x:c>
      <x:c r="C1" s="7" t="inlineStr">
        <x:is>
          <x:t xml:space="preserve">Solución en el rediseño</x:t>
        </x:is>
      </x:c>
    </x:row>
    <x:row r="2">
      <x:c r="A2" s="4" t="inlineStr">
        <x:is>
          <x:t xml:space="preserve">H1 · Visibilidad del estado</x:t>
        </x:is>
      </x:c>
      <x:c r="B2" s="4" t="inlineStr">
        <x:is>
          <x:t xml:space="preserve">No confirma el guardado; los pasos no muestran cuáles están completos.</x:t>
        </x:is>
      </x:c>
      <x:c r="C2" s="4" t="inlineStr">
        <x:is>
          <x:t xml:space="preserve">Mensaje de confirmación, ✓ en los pasos e indicador de coincidencia del pin.</x:t>
        </x:is>
      </x:c>
    </x:row>
    <x:row r="3">
      <x:c r="A3" s="4" t="inlineStr">
        <x:is>
          <x:t xml:space="preserve">H2 · Coincidencia con el mundo real</x:t>
        </x:is>
      </x:c>
      <x:c r="B3" s="4" t="inlineStr">
        <x:is>
          <x:t xml:space="preserve">El mapa contradice la dirección; para avanzar se pulsa «OMITIR».</x:t>
        </x:is>
      </x:c>
      <x:c r="C3" s="4" t="inlineStr">
        <x:is>
          <x:t xml:space="preserve">Pin sobre la dirección; botón «Confirmar ubicación y continuar».</x:t>
        </x:is>
      </x:c>
    </x:row>
    <x:row r="4">
      <x:c r="A4" s="4" t="inlineStr">
        <x:is>
          <x:t xml:space="preserve">H3 · Control y libertad</x:t>
        </x:is>
      </x:c>
      <x:c r="B4" s="4" t="inlineStr">
        <x:is>
          <x:t xml:space="preserve">No hay forma visible de corregir ni de deshacer.</x:t>
        </x:is>
      </x:c>
      <x:c r="C4" s="4" t="inlineStr">
        <x:is>
          <x:t xml:space="preserve">Buscador, arrastre del pin, «Deshacer» y «Volver».</x:t>
        </x:is>
      </x:c>
    </x:row>
    <x:row r="5">
      <x:c r="A5" s="4" t="inlineStr">
        <x:is>
          <x:t xml:space="preserve">H4 · Consistencia y estándares</x:t>
        </x:is>
      </x:c>
      <x:c r="B5" s="4" t="inlineStr">
        <x:is>
          <x:t xml:space="preserve">Tres tipografías; enlaces subrayados junto a una pestaña verde.</x:t>
        </x:is>
      </x:c>
      <x:c r="C5" s="4" t="inlineStr">
        <x:is>
          <x:t xml:space="preserve">Una tipografía y estilos de botón consistentes.</x:t>
        </x:is>
      </x:c>
    </x:row>
    <x:row r="6">
      <x:c r="A6" s="4" t="inlineStr">
        <x:is>
          <x:t xml:space="preserve">H5 · Prevención de errores</x:t>
        </x:is>
      </x:c>
      <x:c r="B6" s="4" t="inlineStr">
        <x:is>
          <x:t xml:space="preserve">«OMITIR» dominante permite saltarse la verificación.</x:t>
        </x:is>
      </x:c>
      <x:c r="C6" s="4" t="inlineStr">
        <x:is>
          <x:t xml:space="preserve">Se elimina «OMITIR»; aviso cuando el pin está lejos de la dirección.</x:t>
        </x:is>
      </x:c>
    </x:row>
    <x:row r="7">
      <x:c r="A7" s="4" t="inlineStr">
        <x:is>
          <x:t xml:space="preserve">H6 · Reconocer antes que recordar</x:t>
        </x:is>
      </x:c>
      <x:c r="B7" s="4" t="inlineStr">
        <x:is>
          <x:t xml:space="preserve">Nada indica que el pin se puede arrastrar.</x:t>
        </x:is>
      </x:c>
      <x:c r="C7" s="4" t="inlineStr">
        <x:is>
          <x:t xml:space="preserve">Pista visible «Arrastra el pin para ajustarlo».</x:t>
        </x:is>
      </x:c>
    </x:row>
    <x:row r="8">
      <x:c r="A8" s="4" t="inlineStr">
        <x:is>
          <x:t xml:space="preserve">H8 · Diseño estético y minimalista</x:t>
        </x:is>
      </x:c>
      <x:c r="B8" s="4" t="inlineStr">
        <x:is>
          <x:t xml:space="preserve">Banners de urgencia y mensajes que compiten con la tarea.</x:t>
        </x:is>
      </x:c>
      <x:c r="C8" s="4" t="inlineStr">
        <x:is>
          <x:t xml:space="preserve">Se retiran; queda solo la información de la tarea.</x:t>
        </x:is>
      </x:c>
    </x:row>
    <x:row r="9">
      <x:c r="A9" s="4" t="inlineStr">
        <x:is>
          <x:t xml:space="preserve">H10 · Ayuda y documentación</x:t>
        </x:is>
      </x:c>
      <x:c r="B9" s="4" t="inlineStr">
        <x:is>
          <x:t xml:space="preserve">Enlace «ayuda??» poco serio y sin instrucciones en pantalla.</x:t>
        </x:is>
      </x:c>
      <x:c r="C9" s="4" t="inlineStr">
        <x:is>
          <x:t xml:space="preserve">«Ayuda» y una instrucción breve bajo el título.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23" hidden="0" customWidth="1"/>
    <x:col min="5" max="5" width="23" hidden="0" customWidth="1"/>
    <x:col min="6" max="6" width="74" hidden="0" customWidth="1"/>
    <x:col min="7" max="7" width="22" hidden="0" customWidth="1"/>
    <x:col min="8" max="8" width="24" hidden="0" customWidth="1"/>
    <x:col min="9" max="9" width="18" hidden="0" customWidth="1"/>
  </x:cols>
  <x:sheetData>
    <x:row r="1" ht="30" customHeight="1">
      <x:c r="A1" s="12" t="str">
        <x:v>Datos y cálculos de la evaluación emocional</x:v>
      </x:c>
      <x:c r="B1" s="12"/>
      <x:c r="C1" s="12"/>
      <x:c r="D1" s="12"/>
      <x:c r="E1" s="12"/>
      <x:c r="F1" s="12"/>
      <x:c r="G1" s="12"/>
      <x:c r="H1" s="12"/>
      <x:c r="I1" s="12"/>
    </x:row>
    <x:row r="2" ht="30" customHeight="1">
      <x:c r="A2" s="14" t="str">
        <x:v>Fuente: evidencias/pruebas_usuarios/resultados/registros_evaluacion.csv. Escala de −3 a +3; cero indica neutralidad.</x:v>
      </x:c>
      <x:c r="B2" s="14"/>
      <x:c r="C2" s="14"/>
      <x:c r="D2" s="14"/>
      <x:c r="E2" s="14"/>
      <x:c r="F2" s="14"/>
      <x:c r="G2" s="14"/>
      <x:c r="H2" s="14"/>
      <x:c r="I2" s="14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</x:row>
    <x:row r="4" ht="40" customHeight="1">
      <x:c r="A4" s="18" t="str">
        <x:v>participante</x:v>
      </x:c>
      <x:c r="B4" s="18" t="str">
        <x:v>version</x:v>
      </x:c>
      <x:c r="C4" s="18" t="str">
        <x:v>momento</x:v>
      </x:c>
      <x:c r="D4" s="18" t="str">
        <x:v>valor</x:v>
      </x:c>
      <x:c r="E4" s="18" t="str">
        <x:v>emocion_evaluacion</x:v>
      </x:c>
      <x:c r="F4" s="18" t="str">
        <x:v>nota_evaluacion</x:v>
      </x:c>
      <x:c r="G4" s="18" t="str">
        <x:v>captura_referencia</x:v>
      </x:c>
      <x:c r="H4" s="18" t="str">
        <x:v>tipo_registro</x:v>
      </x:c>
      <x:c r="I4" s="18" t="str">
        <x:v>validacion</x:v>
      </x:c>
    </x:row>
    <x:row r="5" ht="34" customHeight="1">
      <x:c r="A5" s="19" t="str">
        <x:v>P1</x:v>
      </x:c>
      <x:c r="B5" s="19" t="str">
        <x:v>A_original</x:v>
      </x:c>
      <x:c r="C5" s="19" t="str">
        <x:v>M1</x:v>
      </x:c>
      <x:c r="D5" s="21" t="n">
        <x:v>-1</x:v>
      </x:c>
      <x:c r="E5" s="19" t="str">
        <x:v>Presión</x:v>
      </x:c>
      <x:c r="F5" s="19" t="str">
        <x:v>Atención atraída por el contador antes de revisar la dirección.</x:v>
      </x:c>
      <x:c r="G5" s="19" t="str">
        <x:v>C1, C2</x:v>
      </x:c>
      <x:c r="H5" s="19" t="str">
        <x:v>evaluacion_ux</x:v>
      </x:c>
      <x:c r="I5" s="11" t="str">
        <x:f>IFERROR(IF(AND(ISNUMBER(D5),D5&gt;=-3,D5&lt;=3,D5=INT(D5),LEN(TRIM(E5))&gt;0,LEN(TRIM(F5))&gt;0,LEN(TRIM(G5))&gt;0,OR(A5="P1",A5="P2",A5="P3"),OR(B5="A_original",B5="B_rediseno"),OR(C5="M1",C5="M2",C5="M3",C5="M4",C5="M5"),H5="evaluacion_ux",COUNTIFS($A$5:$A$34,A5,$B$5:$B$34,B5,$C$5:$C$34,C5)=1),"Válido","Revisar"),"Revisar")</x:f>
        <x:v>Válido</x:v>
      </x:c>
    </x:row>
    <x:row r="6" ht="34" customHeight="1">
      <x:c r="A6" s="19" t="str">
        <x:v>P1</x:v>
      </x:c>
      <x:c r="B6" s="19" t="str">
        <x:v>A_original</x:v>
      </x:c>
      <x:c r="C6" s="19" t="str">
        <x:v>M2</x:v>
      </x:c>
      <x:c r="D6" s="21" t="n">
        <x:v>-2</x:v>
      </x:c>
      <x:c r="E6" s="19" t="str">
        <x:v>Duda</x:v>
      </x:c>
      <x:c r="F6" s="19" t="str">
        <x:v>Duda al comparar la manzana del pin con el número 123.</x:v>
      </x:c>
      <x:c r="G6" s="19" t="str">
        <x:v>C3</x:v>
      </x:c>
      <x:c r="H6" s="19" t="str">
        <x:v>evaluacion_ux</x:v>
      </x:c>
      <x:c r="I6" s="11" t="str">
        <x:f>IFERROR(IF(AND(ISNUMBER(D6),D6&gt;=-3,D6&lt;=3,D6=INT(D6),LEN(TRIM(E6))&gt;0,LEN(TRIM(F6))&gt;0,LEN(TRIM(G6))&gt;0,OR(A6="P1",A6="P2",A6="P3"),OR(B6="A_original",B6="B_rediseno"),OR(C6="M1",C6="M2",C6="M3",C6="M4",C6="M5"),H6="evaluacion_ux",COUNTIFS($A$5:$A$34,A6,$B$5:$B$34,B6,$C$5:$C$34,C6)=1),"Válido","Revisar"),"Revisar")</x:f>
        <x:v>Válido</x:v>
      </x:c>
    </x:row>
    <x:row r="7" ht="34" customHeight="1">
      <x:c r="A7" s="19" t="str">
        <x:v>P1</x:v>
      </x:c>
      <x:c r="B7" s="19" t="str">
        <x:v>A_original</x:v>
      </x:c>
      <x:c r="C7" s="19" t="str">
        <x:v>M3</x:v>
      </x:c>
      <x:c r="D7" s="21" t="n">
        <x:v>-3</x:v>
      </x:c>
      <x:c r="E7" s="19" t="str">
        <x:v>Frustración</x:v>
      </x:c>
      <x:c r="F7" s="19" t="str">
        <x:v>No identifica búsqueda ni instrucción de ajuste.</x:v>
      </x:c>
      <x:c r="G7" s="19" t="str">
        <x:v>C4</x:v>
      </x:c>
      <x:c r="H7" s="19" t="str">
        <x:v>evaluacion_ux</x:v>
      </x:c>
      <x:c r="I7" s="11" t="str">
        <x:f>IFERROR(IF(AND(ISNUMBER(D7),D7&gt;=-3,D7&lt;=3,D7=INT(D7),LEN(TRIM(E7))&gt;0,LEN(TRIM(F7))&gt;0,LEN(TRIM(G7))&gt;0,OR(A7="P1",A7="P2",A7="P3"),OR(B7="A_original",B7="B_rediseno"),OR(C7="M1",C7="M2",C7="M3",C7="M4",C7="M5"),H7="evaluacion_ux",COUNTIFS($A$5:$A$34,A7,$B$5:$B$34,B7,$C$5:$C$34,C7)=1),"Válido","Revisar"),"Revisar")</x:f>
        <x:v>Válido</x:v>
      </x:c>
    </x:row>
    <x:row r="8" ht="34" customHeight="1">
      <x:c r="A8" s="19" t="str">
        <x:v>P1</x:v>
      </x:c>
      <x:c r="B8" s="19" t="str">
        <x:v>A_original</x:v>
      </x:c>
      <x:c r="C8" s="19" t="str">
        <x:v>M4</x:v>
      </x:c>
      <x:c r="D8" s="21" t="n">
        <x:v>-2</x:v>
      </x:c>
      <x:c r="E8" s="19" t="str">
        <x:v>Incertidumbre</x:v>
      </x:c>
      <x:c r="F8" s="19" t="str">
        <x:v>Vacila entre Guardar y OMITIR por la jerarquía visual.</x:v>
      </x:c>
      <x:c r="G8" s="19" t="str">
        <x:v>C5, C6</x:v>
      </x:c>
      <x:c r="H8" s="19" t="str">
        <x:v>evaluacion_ux</x:v>
      </x:c>
      <x:c r="I8" s="11" t="str">
        <x:f>IFERROR(IF(AND(ISNUMBER(D8),D8&gt;=-3,D8&lt;=3,D8=INT(D8),LEN(TRIM(E8))&gt;0,LEN(TRIM(F8))&gt;0,LEN(TRIM(G8))&gt;0,OR(A8="P1",A8="P2",A8="P3"),OR(B8="A_original",B8="B_rediseno"),OR(C8="M1",C8="M2",C8="M3",C8="M4",C8="M5"),H8="evaluacion_ux",COUNTIFS($A$5:$A$34,A8,$B$5:$B$34,B8,$C$5:$C$34,C8)=1),"Válido","Revisar"),"Revisar")</x:f>
        <x:v>Válido</x:v>
      </x:c>
    </x:row>
    <x:row r="9" ht="34" customHeight="1">
      <x:c r="A9" s="19" t="str">
        <x:v>P1</x:v>
      </x:c>
      <x:c r="B9" s="19" t="str">
        <x:v>A_original</x:v>
      </x:c>
      <x:c r="C9" s="19" t="str">
        <x:v>M5</x:v>
      </x:c>
      <x:c r="D9" s="21" t="n">
        <x:v>-1</x:v>
      </x:c>
      <x:c r="E9" s="19" t="str">
        <x:v>Inseguridad</x:v>
      </x:c>
      <x:c r="F9" s="19" t="str">
        <x:v>Necesita una confirmación explícita de la ubicación.</x:v>
      </x:c>
      <x:c r="G9" s="19" t="str">
        <x:v>C6, B-5</x:v>
      </x:c>
      <x:c r="H9" s="19" t="str">
        <x:v>evaluacion_ux</x:v>
      </x:c>
      <x:c r="I9" s="11" t="str">
        <x:f>IFERROR(IF(AND(ISNUMBER(D9),D9&gt;=-3,D9&lt;=3,D9=INT(D9),LEN(TRIM(E9))&gt;0,LEN(TRIM(F9))&gt;0,LEN(TRIM(G9))&gt;0,OR(A9="P1",A9="P2",A9="P3"),OR(B9="A_original",B9="B_rediseno"),OR(C9="M1",C9="M2",C9="M3",C9="M4",C9="M5"),H9="evaluacion_ux",COUNTIFS($A$5:$A$34,A9,$B$5:$B$34,B9,$C$5:$C$34,C9)=1),"Válido","Revisar"),"Revisar")</x:f>
        <x:v>Válido</x:v>
      </x:c>
    </x:row>
    <x:row r="10" ht="34" customHeight="1">
      <x:c r="A10" s="19" t="str">
        <x:v>P1</x:v>
      </x:c>
      <x:c r="B10" s="19" t="str">
        <x:v>B_rediseno</x:v>
      </x:c>
      <x:c r="C10" s="19" t="str">
        <x:v>M1</x:v>
      </x:c>
      <x:c r="D10" s="21" t="n">
        <x:v>1</x:v>
      </x:c>
      <x:c r="E10" s="19" t="str">
        <x:v>Tranquilidad</x:v>
      </x:c>
      <x:c r="F10" s="19" t="str">
        <x:v>Comprende el propósito del paso desde el título.</x:v>
      </x:c>
      <x:c r="G10" s="19" t="str">
        <x:v>D1</x:v>
      </x:c>
      <x:c r="H10" s="19" t="str">
        <x:v>evaluacion_ux</x:v>
      </x:c>
      <x:c r="I10" s="11" t="str">
        <x:f>IFERROR(IF(AND(ISNUMBER(D10),D10&gt;=-3,D10&lt;=3,D10=INT(D10),LEN(TRIM(E10))&gt;0,LEN(TRIM(F10))&gt;0,LEN(TRIM(G10))&gt;0,OR(A10="P1",A10="P2",A10="P3"),OR(B10="A_original",B10="B_rediseno"),OR(C10="M1",C10="M2",C10="M3",C10="M4",C10="M5"),H10="evaluacion_ux",COUNTIFS($A$5:$A$34,A10,$B$5:$B$34,B10,$C$5:$C$34,C10)=1),"Válido","Revisar"),"Revisar")</x:f>
        <x:v>Válido</x:v>
      </x:c>
    </x:row>
    <x:row r="11" ht="34" customHeight="1">
      <x:c r="A11" s="19" t="str">
        <x:v>P1</x:v>
      </x:c>
      <x:c r="B11" s="19" t="str">
        <x:v>B_rediseno</x:v>
      </x:c>
      <x:c r="C11" s="19" t="str">
        <x:v>M2</x:v>
      </x:c>
      <x:c r="D11" s="21" t="n">
        <x:v>1</x:v>
      </x:c>
      <x:c r="E11" s="19" t="str">
        <x:v>Orientación</x:v>
      </x:c>
      <x:c r="F11" s="19" t="str">
        <x:v>Relaciona el pin con la dirección visible.</x:v>
      </x:c>
      <x:c r="G11" s="19" t="str">
        <x:v>D1</x:v>
      </x:c>
      <x:c r="H11" s="19" t="str">
        <x:v>evaluacion_ux</x:v>
      </x:c>
      <x:c r="I11" s="11" t="str">
        <x:f>IFERROR(IF(AND(ISNUMBER(D11),D11&gt;=-3,D11&lt;=3,D11=INT(D11),LEN(TRIM(E11))&gt;0,LEN(TRIM(F11))&gt;0,LEN(TRIM(G11))&gt;0,OR(A11="P1",A11="P2",A11="P3"),OR(B11="A_original",B11="B_rediseno"),OR(C11="M1",C11="M2",C11="M3",C11="M4",C11="M5"),H11="evaluacion_ux",COUNTIFS($A$5:$A$34,A11,$B$5:$B$34,B11,$C$5:$C$34,C11)=1),"Válido","Revisar"),"Revisar")</x:f>
        <x:v>Válido</x:v>
      </x:c>
    </x:row>
    <x:row r="12" ht="34" customHeight="1">
      <x:c r="A12" s="19" t="str">
        <x:v>P1</x:v>
      </x:c>
      <x:c r="B12" s="19" t="str">
        <x:v>B_rediseno</x:v>
      </x:c>
      <x:c r="C12" s="19" t="str">
        <x:v>M3</x:v>
      </x:c>
      <x:c r="D12" s="21" t="n">
        <x:v>0</x:v>
      </x:c>
      <x:c r="E12" s="19" t="str">
        <x:v>Neutralidad</x:v>
      </x:c>
      <x:c r="F12" s="19" t="str">
        <x:v>La pista ayuda, aunque el ajuste requiere aprendizaje.</x:v>
      </x:c>
      <x:c r="G12" s="19" t="str">
        <x:v>D1</x:v>
      </x:c>
      <x:c r="H12" s="19" t="str">
        <x:v>evaluacion_ux</x:v>
      </x:c>
      <x:c r="I12" s="11" t="str">
        <x:f>IFERROR(IF(AND(ISNUMBER(D12),D12&gt;=-3,D12&lt;=3,D12=INT(D12),LEN(TRIM(E12))&gt;0,LEN(TRIM(F12))&gt;0,LEN(TRIM(G12))&gt;0,OR(A12="P1",A12="P2",A12="P3"),OR(B12="A_original",B12="B_rediseno"),OR(C12="M1",C12="M2",C12="M3",C12="M4",C12="M5"),H12="evaluacion_ux",COUNTIFS($A$5:$A$34,A12,$B$5:$B$34,B12,$C$5:$C$34,C12)=1),"Válido","Revisar"),"Revisar")</x:f>
        <x:v>Válido</x:v>
      </x:c>
    </x:row>
    <x:row r="13" ht="34" customHeight="1">
      <x:c r="A13" s="19" t="str">
        <x:v>P1</x:v>
      </x:c>
      <x:c r="B13" s="19" t="str">
        <x:v>B_rediseno</x:v>
      </x:c>
      <x:c r="C13" s="19" t="str">
        <x:v>M4</x:v>
      </x:c>
      <x:c r="D13" s="21" t="n">
        <x:v>2</x:v>
      </x:c>
      <x:c r="E13" s="19" t="str">
        <x:v>Seguridad</x:v>
      </x:c>
      <x:c r="F13" s="19" t="str">
        <x:v>Identifica una acción primaria y el estado esperado.</x:v>
      </x:c>
      <x:c r="G13" s="19" t="str">
        <x:v>D1</x:v>
      </x:c>
      <x:c r="H13" s="19" t="str">
        <x:v>evaluacion_ux</x:v>
      </x:c>
      <x:c r="I13" s="11" t="str">
        <x:f>IFERROR(IF(AND(ISNUMBER(D13),D13&gt;=-3,D13&lt;=3,D13=INT(D13),LEN(TRIM(E13))&gt;0,LEN(TRIM(F13))&gt;0,LEN(TRIM(G13))&gt;0,OR(A13="P1",A13="P2",A13="P3"),OR(B13="A_original",B13="B_rediseno"),OR(C13="M1",C13="M2",C13="M3",C13="M4",C13="M5"),H13="evaluacion_ux",COUNTIFS($A$5:$A$34,A13,$B$5:$B$34,B13,$C$5:$C$34,C13)=1),"Válido","Revisar"),"Revisar")</x:f>
        <x:v>Válido</x:v>
      </x:c>
    </x:row>
    <x:row r="14" ht="34" customHeight="1">
      <x:c r="A14" s="19" t="str">
        <x:v>P1</x:v>
      </x:c>
      <x:c r="B14" s="19" t="str">
        <x:v>B_rediseno</x:v>
      </x:c>
      <x:c r="C14" s="19" t="str">
        <x:v>M5</x:v>
      </x:c>
      <x:c r="D14" s="21" t="n">
        <x:v>1</x:v>
      </x:c>
      <x:c r="E14" s="19" t="str">
        <x:v>Tranquilidad</x:v>
      </x:c>
      <x:c r="F14" s="19" t="str">
        <x:v>Comprende el mensaje de guardado y la opción Deshacer.</x:v>
      </x:c>
      <x:c r="G14" s="19" t="str">
        <x:v>D2</x:v>
      </x:c>
      <x:c r="H14" s="19" t="str">
        <x:v>evaluacion_ux</x:v>
      </x:c>
      <x:c r="I14" s="11" t="str">
        <x:f>IFERROR(IF(AND(ISNUMBER(D14),D14&gt;=-3,D14&lt;=3,D14=INT(D14),LEN(TRIM(E14))&gt;0,LEN(TRIM(F14))&gt;0,LEN(TRIM(G14))&gt;0,OR(A14="P1",A14="P2",A14="P3"),OR(B14="A_original",B14="B_rediseno"),OR(C14="M1",C14="M2",C14="M3",C14="M4",C14="M5"),H14="evaluacion_ux",COUNTIFS($A$5:$A$34,A14,$B$5:$B$34,B14,$C$5:$C$34,C14)=1),"Válido","Revisar"),"Revisar")</x:f>
        <x:v>Válido</x:v>
      </x:c>
    </x:row>
    <x:row r="15" ht="34" customHeight="1">
      <x:c r="A15" s="19" t="str">
        <x:v>P2</x:v>
      </x:c>
      <x:c r="B15" s="19" t="str">
        <x:v>A_original</x:v>
      </x:c>
      <x:c r="C15" s="19" t="str">
        <x:v>M1</x:v>
      </x:c>
      <x:c r="D15" s="21" t="n">
        <x:v>0</x:v>
      </x:c>
      <x:c r="E15" s="19" t="str">
        <x:v>Neutralidad</x:v>
      </x:c>
      <x:c r="F15" s="19" t="str">
        <x:v>Identifica el paso del mapa pese al ruido promocional.</x:v>
      </x:c>
      <x:c r="G15" s="19" t="str">
        <x:v>C1, C2</x:v>
      </x:c>
      <x:c r="H15" s="19" t="str">
        <x:v>evaluacion_ux</x:v>
      </x:c>
      <x:c r="I15" s="11" t="str">
        <x:f>IFERROR(IF(AND(ISNUMBER(D15),D15&gt;=-3,D15&lt;=3,D15=INT(D15),LEN(TRIM(E15))&gt;0,LEN(TRIM(F15))&gt;0,LEN(TRIM(G15))&gt;0,OR(A15="P1",A15="P2",A15="P3"),OR(B15="A_original",B15="B_rediseno"),OR(C15="M1",C15="M2",C15="M3",C15="M4",C15="M5"),H15="evaluacion_ux",COUNTIFS($A$5:$A$34,A15,$B$5:$B$34,B15,$C$5:$C$34,C15)=1),"Válido","Revisar"),"Revisar")</x:f>
        <x:v>Válido</x:v>
      </x:c>
    </x:row>
    <x:row r="16" ht="34" customHeight="1">
      <x:c r="A16" s="19" t="str">
        <x:v>P2</x:v>
      </x:c>
      <x:c r="B16" s="19" t="str">
        <x:v>A_original</x:v>
      </x:c>
      <x:c r="C16" s="19" t="str">
        <x:v>M2</x:v>
      </x:c>
      <x:c r="D16" s="21" t="n">
        <x:v>-1</x:v>
      </x:c>
      <x:c r="E16" s="19" t="str">
        <x:v>Duda</x:v>
      </x:c>
      <x:c r="F16" s="19" t="str">
        <x:v>Detecta la discrepancia entre pin y domicilio.</x:v>
      </x:c>
      <x:c r="G16" s="19" t="str">
        <x:v>C3</x:v>
      </x:c>
      <x:c r="H16" s="19" t="str">
        <x:v>evaluacion_ux</x:v>
      </x:c>
      <x:c r="I16" s="11" t="str">
        <x:f>IFERROR(IF(AND(ISNUMBER(D16),D16&gt;=-3,D16&lt;=3,D16=INT(D16),LEN(TRIM(E16))&gt;0,LEN(TRIM(F16))&gt;0,LEN(TRIM(G16))&gt;0,OR(A16="P1",A16="P2",A16="P3"),OR(B16="A_original",B16="B_rediseno"),OR(C16="M1",C16="M2",C16="M3",C16="M4",C16="M5"),H16="evaluacion_ux",COUNTIFS($A$5:$A$34,A16,$B$5:$B$34,B16,$C$5:$C$34,C16)=1),"Válido","Revisar"),"Revisar")</x:f>
        <x:v>Válido</x:v>
      </x:c>
    </x:row>
    <x:row r="17" ht="34" customHeight="1">
      <x:c r="A17" s="19" t="str">
        <x:v>P2</x:v>
      </x:c>
      <x:c r="B17" s="19" t="str">
        <x:v>A_original</x:v>
      </x:c>
      <x:c r="C17" s="19" t="str">
        <x:v>M3</x:v>
      </x:c>
      <x:c r="D17" s="21" t="n">
        <x:v>-2</x:v>
      </x:c>
      <x:c r="E17" s="19" t="str">
        <x:v>Frustración</x:v>
      </x:c>
      <x:c r="F17" s="19" t="str">
        <x:v>Busca un mecanismo de corrección que la captura no muestra.</x:v>
      </x:c>
      <x:c r="G17" s="19" t="str">
        <x:v>C4</x:v>
      </x:c>
      <x:c r="H17" s="19" t="str">
        <x:v>evaluacion_ux</x:v>
      </x:c>
      <x:c r="I17" s="11" t="str">
        <x:f>IFERROR(IF(AND(ISNUMBER(D17),D17&gt;=-3,D17&lt;=3,D17=INT(D17),LEN(TRIM(E17))&gt;0,LEN(TRIM(F17))&gt;0,LEN(TRIM(G17))&gt;0,OR(A17="P1",A17="P2",A17="P3"),OR(B17="A_original",B17="B_rediseno"),OR(C17="M1",C17="M2",C17="M3",C17="M4",C17="M5"),H17="evaluacion_ux",COUNTIFS($A$5:$A$34,A17,$B$5:$B$34,B17,$C$5:$C$34,C17)=1),"Válido","Revisar"),"Revisar")</x:f>
        <x:v>Válido</x:v>
      </x:c>
    </x:row>
    <x:row r="18" ht="34" customHeight="1">
      <x:c r="A18" s="19" t="str">
        <x:v>P2</x:v>
      </x:c>
      <x:c r="B18" s="19" t="str">
        <x:v>A_original</x:v>
      </x:c>
      <x:c r="C18" s="19" t="str">
        <x:v>M4</x:v>
      </x:c>
      <x:c r="D18" s="21" t="n">
        <x:v>-1</x:v>
      </x:c>
      <x:c r="E18" s="19" t="str">
        <x:v>Duda</x:v>
      </x:c>
      <x:c r="F18" s="19" t="str">
        <x:v>Reconoce Guardar pero percibe poca visibilidad.</x:v>
      </x:c>
      <x:c r="G18" s="19" t="str">
        <x:v>C5, C6</x:v>
      </x:c>
      <x:c r="H18" s="19" t="str">
        <x:v>evaluacion_ux</x:v>
      </x:c>
      <x:c r="I18" s="11" t="str">
        <x:f>IFERROR(IF(AND(ISNUMBER(D18),D18&gt;=-3,D18&lt;=3,D18=INT(D18),LEN(TRIM(E18))&gt;0,LEN(TRIM(F18))&gt;0,LEN(TRIM(G18))&gt;0,OR(A18="P1",A18="P2",A18="P3"),OR(B18="A_original",B18="B_rediseno"),OR(C18="M1",C18="M2",C18="M3",C18="M4",C18="M5"),H18="evaluacion_ux",COUNTIFS($A$5:$A$34,A18,$B$5:$B$34,B18,$C$5:$C$34,C18)=1),"Válido","Revisar"),"Revisar")</x:f>
        <x:v>Válido</x:v>
      </x:c>
    </x:row>
    <x:row r="19" ht="34" customHeight="1">
      <x:c r="A19" s="19" t="str">
        <x:v>P2</x:v>
      </x:c>
      <x:c r="B19" s="19" t="str">
        <x:v>A_original</x:v>
      </x:c>
      <x:c r="C19" s="19" t="str">
        <x:v>M5</x:v>
      </x:c>
      <x:c r="D19" s="21" t="n">
        <x:v>0</x:v>
      </x:c>
      <x:c r="E19" s="19" t="str">
        <x:v>Neutralidad</x:v>
      </x:c>
      <x:c r="F19" s="19" t="str">
        <x:v>No dispone de evidencia suficiente del guardado.</x:v>
      </x:c>
      <x:c r="G19" s="19" t="str">
        <x:v>C6, B-5</x:v>
      </x:c>
      <x:c r="H19" s="19" t="str">
        <x:v>evaluacion_ux</x:v>
      </x:c>
      <x:c r="I19" s="11" t="str">
        <x:f>IFERROR(IF(AND(ISNUMBER(D19),D19&gt;=-3,D19&lt;=3,D19=INT(D19),LEN(TRIM(E19))&gt;0,LEN(TRIM(F19))&gt;0,LEN(TRIM(G19))&gt;0,OR(A19="P1",A19="P2",A19="P3"),OR(B19="A_original",B19="B_rediseno"),OR(C19="M1",C19="M2",C19="M3",C19="M4",C19="M5"),H19="evaluacion_ux",COUNTIFS($A$5:$A$34,A19,$B$5:$B$34,B19,$C$5:$C$34,C19)=1),"Válido","Revisar"),"Revisar")</x:f>
        <x:v>Válido</x:v>
      </x:c>
    </x:row>
    <x:row r="20" ht="34" customHeight="1">
      <x:c r="A20" s="19" t="str">
        <x:v>P2</x:v>
      </x:c>
      <x:c r="B20" s="19" t="str">
        <x:v>B_rediseno</x:v>
      </x:c>
      <x:c r="C20" s="19" t="str">
        <x:v>M1</x:v>
      </x:c>
      <x:c r="D20" s="21" t="n">
        <x:v>1</x:v>
      </x:c>
      <x:c r="E20" s="19" t="str">
        <x:v>Tranquilidad</x:v>
      </x:c>
      <x:c r="F20" s="19" t="str">
        <x:v>Ubica rápidamente el paso y su objetivo.</x:v>
      </x:c>
      <x:c r="G20" s="19" t="str">
        <x:v>D1</x:v>
      </x:c>
      <x:c r="H20" s="19" t="str">
        <x:v>evaluacion_ux</x:v>
      </x:c>
      <x:c r="I20" s="11" t="str">
        <x:f>IFERROR(IF(AND(ISNUMBER(D20),D20&gt;=-3,D20&lt;=3,D20=INT(D20),LEN(TRIM(E20))&gt;0,LEN(TRIM(F20))&gt;0,LEN(TRIM(G20))&gt;0,OR(A20="P1",A20="P2",A20="P3"),OR(B20="A_original",B20="B_rediseno"),OR(C20="M1",C20="M2",C20="M3",C20="M4",C20="M5"),H20="evaluacion_ux",COUNTIFS($A$5:$A$34,A20,$B$5:$B$34,B20,$C$5:$C$34,C20)=1),"Válido","Revisar"),"Revisar")</x:f>
        <x:v>Válido</x:v>
      </x:c>
    </x:row>
    <x:row r="21" ht="34" customHeight="1">
      <x:c r="A21" s="19" t="str">
        <x:v>P2</x:v>
      </x:c>
      <x:c r="B21" s="19" t="str">
        <x:v>B_rediseno</x:v>
      </x:c>
      <x:c r="C21" s="19" t="str">
        <x:v>M2</x:v>
      </x:c>
      <x:c r="D21" s="21" t="n">
        <x:v>2</x:v>
      </x:c>
      <x:c r="E21" s="19" t="str">
        <x:v>Confianza</x:v>
      </x:c>
      <x:c r="F21" s="19" t="str">
        <x:v>Interpreta la etiqueta Tu entrega y el lote resaltado.</x:v>
      </x:c>
      <x:c r="G21" s="19" t="str">
        <x:v>D1</x:v>
      </x:c>
      <x:c r="H21" s="19" t="str">
        <x:v>evaluacion_ux</x:v>
      </x:c>
      <x:c r="I21" s="11" t="str">
        <x:f>IFERROR(IF(AND(ISNUMBER(D21),D21&gt;=-3,D21&lt;=3,D21=INT(D21),LEN(TRIM(E21))&gt;0,LEN(TRIM(F21))&gt;0,LEN(TRIM(G21))&gt;0,OR(A21="P1",A21="P2",A21="P3"),OR(B21="A_original",B21="B_rediseno"),OR(C21="M1",C21="M2",C21="M3",C21="M4",C21="M5"),H21="evaluacion_ux",COUNTIFS($A$5:$A$34,A21,$B$5:$B$34,B21,$C$5:$C$34,C21)=1),"Válido","Revisar"),"Revisar")</x:f>
        <x:v>Válido</x:v>
      </x:c>
    </x:row>
    <x:row r="22" ht="34" customHeight="1">
      <x:c r="A22" s="19" t="str">
        <x:v>P2</x:v>
      </x:c>
      <x:c r="B22" s="19" t="str">
        <x:v>B_rediseno</x:v>
      </x:c>
      <x:c r="C22" s="19" t="str">
        <x:v>M3</x:v>
      </x:c>
      <x:c r="D22" s="21" t="n">
        <x:v>1</x:v>
      </x:c>
      <x:c r="E22" s="19" t="str">
        <x:v>Control</x:v>
      </x:c>
      <x:c r="F22" s="19" t="str">
        <x:v>Reconoce búsqueda y ajuste como opciones previstas.</x:v>
      </x:c>
      <x:c r="G22" s="19" t="str">
        <x:v>D1</x:v>
      </x:c>
      <x:c r="H22" s="19" t="str">
        <x:v>evaluacion_ux</x:v>
      </x:c>
      <x:c r="I22" s="11" t="str">
        <x:f>IFERROR(IF(AND(ISNUMBER(D22),D22&gt;=-3,D22&lt;=3,D22=INT(D22),LEN(TRIM(E22))&gt;0,LEN(TRIM(F22))&gt;0,LEN(TRIM(G22))&gt;0,OR(A22="P1",A22="P2",A22="P3"),OR(B22="A_original",B22="B_rediseno"),OR(C22="M1",C22="M2",C22="M3",C22="M4",C22="M5"),H22="evaluacion_ux",COUNTIFS($A$5:$A$34,A22,$B$5:$B$34,B22,$C$5:$C$34,C22)=1),"Válido","Revisar"),"Revisar")</x:f>
        <x:v>Válido</x:v>
      </x:c>
    </x:row>
    <x:row r="23" ht="34" customHeight="1">
      <x:c r="A23" s="19" t="str">
        <x:v>P2</x:v>
      </x:c>
      <x:c r="B23" s="19" t="str">
        <x:v>B_rediseno</x:v>
      </x:c>
      <x:c r="C23" s="19" t="str">
        <x:v>M4</x:v>
      </x:c>
      <x:c r="D23" s="21" t="n">
        <x:v>2</x:v>
      </x:c>
      <x:c r="E23" s="19" t="str">
        <x:v>Seguridad</x:v>
      </x:c>
      <x:c r="F23" s="19" t="str">
        <x:v>Entiende el propósito del botón de confirmación.</x:v>
      </x:c>
      <x:c r="G23" s="19" t="str">
        <x:v>D1</x:v>
      </x:c>
      <x:c r="H23" s="19" t="str">
        <x:v>evaluacion_ux</x:v>
      </x:c>
      <x:c r="I23" s="11" t="str">
        <x:f>IFERROR(IF(AND(ISNUMBER(D23),D23&gt;=-3,D23&lt;=3,D23=INT(D23),LEN(TRIM(E23))&gt;0,LEN(TRIM(F23))&gt;0,LEN(TRIM(G23))&gt;0,OR(A23="P1",A23="P2",A23="P3"),OR(B23="A_original",B23="B_rediseno"),OR(C23="M1",C23="M2",C23="M3",C23="M4",C23="M5"),H23="evaluacion_ux",COUNTIFS($A$5:$A$34,A23,$B$5:$B$34,B23,$C$5:$C$34,C23)=1),"Válido","Revisar"),"Revisar")</x:f>
        <x:v>Válido</x:v>
      </x:c>
    </x:row>
    <x:row r="24" ht="34" customHeight="1">
      <x:c r="A24" s="19" t="str">
        <x:v>P2</x:v>
      </x:c>
      <x:c r="B24" s="19" t="str">
        <x:v>B_rediseno</x:v>
      </x:c>
      <x:c r="C24" s="19" t="str">
        <x:v>M5</x:v>
      </x:c>
      <x:c r="D24" s="21" t="n">
        <x:v>2</x:v>
      </x:c>
      <x:c r="E24" s="19" t="str">
        <x:v>Satisfacción</x:v>
      </x:c>
      <x:c r="F24" s="19" t="str">
        <x:v>Valora la revisión y la reversibilidad como señales de control.</x:v>
      </x:c>
      <x:c r="G24" s="19" t="str">
        <x:v>D2</x:v>
      </x:c>
      <x:c r="H24" s="19" t="str">
        <x:v>evaluacion_ux</x:v>
      </x:c>
      <x:c r="I24" s="11" t="str">
        <x:f>IFERROR(IF(AND(ISNUMBER(D24),D24&gt;=-3,D24&lt;=3,D24=INT(D24),LEN(TRIM(E24))&gt;0,LEN(TRIM(F24))&gt;0,LEN(TRIM(G24))&gt;0,OR(A24="P1",A24="P2",A24="P3"),OR(B24="A_original",B24="B_rediseno"),OR(C24="M1",C24="M2",C24="M3",C24="M4",C24="M5"),H24="evaluacion_ux",COUNTIFS($A$5:$A$34,A24,$B$5:$B$34,B24,$C$5:$C$34,C24)=1),"Válido","Revisar"),"Revisar")</x:f>
        <x:v>Válido</x:v>
      </x:c>
    </x:row>
    <x:row r="25" ht="34" customHeight="1">
      <x:c r="A25" s="19" t="str">
        <x:v>P3</x:v>
      </x:c>
      <x:c r="B25" s="19" t="str">
        <x:v>A_original</x:v>
      </x:c>
      <x:c r="C25" s="19" t="str">
        <x:v>M1</x:v>
      </x:c>
      <x:c r="D25" s="21" t="n">
        <x:v>-1</x:v>
      </x:c>
      <x:c r="E25" s="19" t="str">
        <x:v>Desconfianza</x:v>
      </x:c>
      <x:c r="F25" s="19" t="str">
        <x:v>Interpreta la promoción como una distracción de la revisión.</x:v>
      </x:c>
      <x:c r="G25" s="19" t="str">
        <x:v>C1, C2</x:v>
      </x:c>
      <x:c r="H25" s="19" t="str">
        <x:v>evaluacion_ux</x:v>
      </x:c>
      <x:c r="I25" s="11" t="str">
        <x:f>IFERROR(IF(AND(ISNUMBER(D25),D25&gt;=-3,D25&lt;=3,D25=INT(D25),LEN(TRIM(E25))&gt;0,LEN(TRIM(F25))&gt;0,LEN(TRIM(G25))&gt;0,OR(A25="P1",A25="P2",A25="P3"),OR(B25="A_original",B25="B_rediseno"),OR(C25="M1",C25="M2",C25="M3",C25="M4",C25="M5"),H25="evaluacion_ux",COUNTIFS($A$5:$A$34,A25,$B$5:$B$34,B25,$C$5:$C$34,C25)=1),"Válido","Revisar"),"Revisar")</x:f>
        <x:v>Válido</x:v>
      </x:c>
    </x:row>
    <x:row r="26" ht="34" customHeight="1">
      <x:c r="A26" s="19" t="str">
        <x:v>P3</x:v>
      </x:c>
      <x:c r="B26" s="19" t="str">
        <x:v>A_original</x:v>
      </x:c>
      <x:c r="C26" s="19" t="str">
        <x:v>M2</x:v>
      </x:c>
      <x:c r="D26" s="21" t="n">
        <x:v>-1</x:v>
      </x:c>
      <x:c r="E26" s="19" t="str">
        <x:v>Duda</x:v>
      </x:c>
      <x:c r="F26" s="19" t="str">
        <x:v>Localiza el domicilio y detecta el pin separado.</x:v>
      </x:c>
      <x:c r="G26" s="19" t="str">
        <x:v>C3</x:v>
      </x:c>
      <x:c r="H26" s="19" t="str">
        <x:v>evaluacion_ux</x:v>
      </x:c>
      <x:c r="I26" s="11" t="str">
        <x:f>IFERROR(IF(AND(ISNUMBER(D26),D26&gt;=-3,D26&lt;=3,D26=INT(D26),LEN(TRIM(E26))&gt;0,LEN(TRIM(F26))&gt;0,LEN(TRIM(G26))&gt;0,OR(A26="P1",A26="P2",A26="P3"),OR(B26="A_original",B26="B_rediseno"),OR(C26="M1",C26="M2",C26="M3",C26="M4",C26="M5"),H26="evaluacion_ux",COUNTIFS($A$5:$A$34,A26,$B$5:$B$34,B26,$C$5:$C$34,C26)=1),"Válido","Revisar"),"Revisar")</x:f>
        <x:v>Válido</x:v>
      </x:c>
    </x:row>
    <x:row r="27" ht="34" customHeight="1">
      <x:c r="A27" s="19" t="str">
        <x:v>P3</x:v>
      </x:c>
      <x:c r="B27" s="19" t="str">
        <x:v>A_original</x:v>
      </x:c>
      <x:c r="C27" s="19" t="str">
        <x:v>M3</x:v>
      </x:c>
      <x:c r="D27" s="21" t="n">
        <x:v>-2</x:v>
      </x:c>
      <x:c r="E27" s="19" t="str">
        <x:v>Frustración</x:v>
      </x:c>
      <x:c r="F27" s="19" t="str">
        <x:v>Espera manipulación directa o búsqueda de dirección.</x:v>
      </x:c>
      <x:c r="G27" s="19" t="str">
        <x:v>C4</x:v>
      </x:c>
      <x:c r="H27" s="19" t="str">
        <x:v>evaluacion_ux</x:v>
      </x:c>
      <x:c r="I27" s="11" t="str">
        <x:f>IFERROR(IF(AND(ISNUMBER(D27),D27&gt;=-3,D27&lt;=3,D27=INT(D27),LEN(TRIM(E27))&gt;0,LEN(TRIM(F27))&gt;0,LEN(TRIM(G27))&gt;0,OR(A27="P1",A27="P2",A27="P3"),OR(B27="A_original",B27="B_rediseno"),OR(C27="M1",C27="M2",C27="M3",C27="M4",C27="M5"),H27="evaluacion_ux",COUNTIFS($A$5:$A$34,A27,$B$5:$B$34,B27,$C$5:$C$34,C27)=1),"Válido","Revisar"),"Revisar")</x:f>
        <x:v>Válido</x:v>
      </x:c>
    </x:row>
    <x:row r="28" ht="34" customHeight="1">
      <x:c r="A28" s="19" t="str">
        <x:v>P3</x:v>
      </x:c>
      <x:c r="B28" s="19" t="str">
        <x:v>A_original</x:v>
      </x:c>
      <x:c r="C28" s="19" t="str">
        <x:v>M4</x:v>
      </x:c>
      <x:c r="D28" s="21" t="n">
        <x:v>-2</x:v>
      </x:c>
      <x:c r="E28" s="19" t="str">
        <x:v>Incertidumbre</x:v>
      </x:c>
      <x:c r="F28" s="19" t="str">
        <x:v>Cuestiona la prioridad visual de OMITIR.</x:v>
      </x:c>
      <x:c r="G28" s="19" t="str">
        <x:v>C5, C6</x:v>
      </x:c>
      <x:c r="H28" s="19" t="str">
        <x:v>evaluacion_ux</x:v>
      </x:c>
      <x:c r="I28" s="11" t="str">
        <x:f>IFERROR(IF(AND(ISNUMBER(D28),D28&gt;=-3,D28&lt;=3,D28=INT(D28),LEN(TRIM(E28))&gt;0,LEN(TRIM(F28))&gt;0,LEN(TRIM(G28))&gt;0,OR(A28="P1",A28="P2",A28="P3"),OR(B28="A_original",B28="B_rediseno"),OR(C28="M1",C28="M2",C28="M3",C28="M4",C28="M5"),H28="evaluacion_ux",COUNTIFS($A$5:$A$34,A28,$B$5:$B$34,B28,$C$5:$C$34,C28)=1),"Válido","Revisar"),"Revisar")</x:f>
        <x:v>Válido</x:v>
      </x:c>
    </x:row>
    <x:row r="29" ht="34" customHeight="1">
      <x:c r="A29" s="19" t="str">
        <x:v>P3</x:v>
      </x:c>
      <x:c r="B29" s="19" t="str">
        <x:v>A_original</x:v>
      </x:c>
      <x:c r="C29" s="19" t="str">
        <x:v>M5</x:v>
      </x:c>
      <x:c r="D29" s="21" t="n">
        <x:v>-1</x:v>
      </x:c>
      <x:c r="E29" s="19" t="str">
        <x:v>Inseguridad</x:v>
      </x:c>
      <x:c r="F29" s="19" t="str">
        <x:v>Quiere verificar el resultado antes de avanzar.</x:v>
      </x:c>
      <x:c r="G29" s="19" t="str">
        <x:v>C6, B-5</x:v>
      </x:c>
      <x:c r="H29" s="19" t="str">
        <x:v>evaluacion_ux</x:v>
      </x:c>
      <x:c r="I29" s="11" t="str">
        <x:f>IFERROR(IF(AND(ISNUMBER(D29),D29&gt;=-3,D29&lt;=3,D29=INT(D29),LEN(TRIM(E29))&gt;0,LEN(TRIM(F29))&gt;0,LEN(TRIM(G29))&gt;0,OR(A29="P1",A29="P2",A29="P3"),OR(B29="A_original",B29="B_rediseno"),OR(C29="M1",C29="M2",C29="M3",C29="M4",C29="M5"),H29="evaluacion_ux",COUNTIFS($A$5:$A$34,A29,$B$5:$B$34,B29,$C$5:$C$34,C29)=1),"Válido","Revisar"),"Revisar")</x:f>
        <x:v>Válido</x:v>
      </x:c>
    </x:row>
    <x:row r="30" ht="34" customHeight="1">
      <x:c r="A30" s="19" t="str">
        <x:v>P3</x:v>
      </x:c>
      <x:c r="B30" s="19" t="str">
        <x:v>B_rediseno</x:v>
      </x:c>
      <x:c r="C30" s="19" t="str">
        <x:v>M1</x:v>
      </x:c>
      <x:c r="D30" s="21" t="n">
        <x:v>1</x:v>
      </x:c>
      <x:c r="E30" s="19" t="str">
        <x:v>Tranquilidad</x:v>
      </x:c>
      <x:c r="F30" s="19" t="str">
        <x:v>Percibe una jerarquía más estable.</x:v>
      </x:c>
      <x:c r="G30" s="19" t="str">
        <x:v>D1</x:v>
      </x:c>
      <x:c r="H30" s="19" t="str">
        <x:v>evaluacion_ux</x:v>
      </x:c>
      <x:c r="I30" s="11" t="str">
        <x:f>IFERROR(IF(AND(ISNUMBER(D30),D30&gt;=-3,D30&lt;=3,D30=INT(D30),LEN(TRIM(E30))&gt;0,LEN(TRIM(F30))&gt;0,LEN(TRIM(G30))&gt;0,OR(A30="P1",A30="P2",A30="P3"),OR(B30="A_original",B30="B_rediseno"),OR(C30="M1",C30="M2",C30="M3",C30="M4",C30="M5"),H30="evaluacion_ux",COUNTIFS($A$5:$A$34,A30,$B$5:$B$34,B30,$C$5:$C$34,C30)=1),"Válido","Revisar"),"Revisar")</x:f>
        <x:v>Válido</x:v>
      </x:c>
    </x:row>
    <x:row r="31" ht="34" customHeight="1">
      <x:c r="A31" s="19" t="str">
        <x:v>P3</x:v>
      </x:c>
      <x:c r="B31" s="19" t="str">
        <x:v>B_rediseno</x:v>
      </x:c>
      <x:c r="C31" s="19" t="str">
        <x:v>M2</x:v>
      </x:c>
      <x:c r="D31" s="21" t="n">
        <x:v>1</x:v>
      </x:c>
      <x:c r="E31" s="19" t="str">
        <x:v>Orientación</x:v>
      </x:c>
      <x:c r="F31" s="19" t="str">
        <x:v>Entiende la relación entre mapa y panel de dirección.</x:v>
      </x:c>
      <x:c r="G31" s="19" t="str">
        <x:v>D1</x:v>
      </x:c>
      <x:c r="H31" s="19" t="str">
        <x:v>evaluacion_ux</x:v>
      </x:c>
      <x:c r="I31" s="11" t="str">
        <x:f>IFERROR(IF(AND(ISNUMBER(D31),D31&gt;=-3,D31&lt;=3,D31=INT(D31),LEN(TRIM(E31))&gt;0,LEN(TRIM(F31))&gt;0,LEN(TRIM(G31))&gt;0,OR(A31="P1",A31="P2",A31="P3"),OR(B31="A_original",B31="B_rediseno"),OR(C31="M1",C31="M2",C31="M3",C31="M4",C31="M5"),H31="evaluacion_ux",COUNTIFS($A$5:$A$34,A31,$B$5:$B$34,B31,$C$5:$C$34,C31)=1),"Válido","Revisar"),"Revisar")</x:f>
        <x:v>Válido</x:v>
      </x:c>
    </x:row>
    <x:row r="32" ht="34" customHeight="1">
      <x:c r="A32" s="19" t="str">
        <x:v>P3</x:v>
      </x:c>
      <x:c r="B32" s="19" t="str">
        <x:v>B_rediseno</x:v>
      </x:c>
      <x:c r="C32" s="19" t="str">
        <x:v>M3</x:v>
      </x:c>
      <x:c r="D32" s="21" t="n">
        <x:v>-1</x:v>
      </x:c>
      <x:c r="E32" s="19" t="str">
        <x:v>Duda</x:v>
      </x:c>
      <x:c r="F32" s="19" t="str">
        <x:v>Mantiene duda sobre la respuesta de búsqueda y arrastre.</x:v>
      </x:c>
      <x:c r="G32" s="19" t="str">
        <x:v>D1</x:v>
      </x:c>
      <x:c r="H32" s="19" t="str">
        <x:v>evaluacion_ux</x:v>
      </x:c>
      <x:c r="I32" s="11" t="str">
        <x:f>IFERROR(IF(AND(ISNUMBER(D32),D32&gt;=-3,D32&lt;=3,D32=INT(D32),LEN(TRIM(E32))&gt;0,LEN(TRIM(F32))&gt;0,LEN(TRIM(G32))&gt;0,OR(A32="P1",A32="P2",A32="P3"),OR(B32="A_original",B32="B_rediseno"),OR(C32="M1",C32="M2",C32="M3",C32="M4",C32="M5"),H32="evaluacion_ux",COUNTIFS($A$5:$A$34,A32,$B$5:$B$34,B32,$C$5:$C$34,C32)=1),"Válido","Revisar"),"Revisar")</x:f>
        <x:v>Válido</x:v>
      </x:c>
    </x:row>
    <x:row r="33" ht="34" customHeight="1">
      <x:c r="A33" s="19" t="str">
        <x:v>P3</x:v>
      </x:c>
      <x:c r="B33" s="19" t="str">
        <x:v>B_rediseno</x:v>
      </x:c>
      <x:c r="C33" s="19" t="str">
        <x:v>M4</x:v>
      </x:c>
      <x:c r="D33" s="21" t="n">
        <x:v>1</x:v>
      </x:c>
      <x:c r="E33" s="19" t="str">
        <x:v>Seguridad</x:v>
      </x:c>
      <x:c r="F33" s="19" t="str">
        <x:v>Identifica la confirmación como acción principal.</x:v>
      </x:c>
      <x:c r="G33" s="19" t="str">
        <x:v>D1</x:v>
      </x:c>
      <x:c r="H33" s="19" t="str">
        <x:v>evaluacion_ux</x:v>
      </x:c>
      <x:c r="I33" s="11" t="str">
        <x:f>IFERROR(IF(AND(ISNUMBER(D33),D33&gt;=-3,D33&lt;=3,D33=INT(D33),LEN(TRIM(E33))&gt;0,LEN(TRIM(F33))&gt;0,LEN(TRIM(G33))&gt;0,OR(A33="P1",A33="P2",A33="P3"),OR(B33="A_original",B33="B_rediseno"),OR(C33="M1",C33="M2",C33="M3",C33="M4",C33="M5"),H33="evaluacion_ux",COUNTIFS($A$5:$A$34,A33,$B$5:$B$34,B33,$C$5:$C$34,C33)=1),"Válido","Revisar"),"Revisar")</x:f>
        <x:v>Válido</x:v>
      </x:c>
    </x:row>
    <x:row r="34" ht="34" customHeight="1">
      <x:c r="A34" s="19" t="str">
        <x:v>P3</x:v>
      </x:c>
      <x:c r="B34" s="19" t="str">
        <x:v>B_rediseno</x:v>
      </x:c>
      <x:c r="C34" s="19" t="str">
        <x:v>M5</x:v>
      </x:c>
      <x:c r="D34" s="21" t="n">
        <x:v>1</x:v>
      </x:c>
      <x:c r="E34" s="19" t="str">
        <x:v>Tranquilidad</x:v>
      </x:c>
      <x:c r="F34" s="19" t="str">
        <x:v>Comprende el estado confirmado, con reserva sobre el paso al pago.</x:v>
      </x:c>
      <x:c r="G34" s="19" t="str">
        <x:v>D2</x:v>
      </x:c>
      <x:c r="H34" s="19" t="str">
        <x:v>evaluacion_ux</x:v>
      </x:c>
      <x:c r="I34" s="11" t="str">
        <x:f>IFERROR(IF(AND(ISNUMBER(D34),D34&gt;=-3,D34&lt;=3,D34=INT(D34),LEN(TRIM(E34))&gt;0,LEN(TRIM(F34))&gt;0,LEN(TRIM(G34))&gt;0,OR(A34="P1",A34="P2",A34="P3"),OR(B34="A_original",B34="B_rediseno"),OR(C34="M1",C34="M2",C34="M3",C34="M4",C34="M5"),H34="evaluacion_ux",COUNTIFS($A$5:$A$34,A34,$B$5:$B$34,B34,$C$5:$C$34,C34)=1),"Válido","Revisar"),"Revisar")</x:f>
        <x:v>Válido</x:v>
      </x:c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 ht="30" customHeight="1">
      <x:c r="A36" s="23" t="str">
        <x:v>Resumen por momento</x:v>
      </x:c>
      <x:c r="B36" s="23"/>
      <x:c r="C36" s="23"/>
      <x:c r="D36" s="23"/>
      <x:c r="E36" s="23"/>
      <x:c r="F36" s="23"/>
      <x:c r="G36" s="11"/>
      <x:c r="H36" s="19" t="str">
        <x:v>Control de entradas</x:v>
      </x:c>
      <x:c r="I36" s="19" t="str">
        <x:v>Registros válidos</x:v>
      </x:c>
    </x:row>
    <x:row r="37" ht="30" customHeight="1">
      <x:c r="A37" s="11"/>
      <x:c r="B37" s="11"/>
      <x:c r="C37" s="11"/>
      <x:c r="D37" s="11"/>
      <x:c r="E37" s="11"/>
      <x:c r="F37" s="11"/>
      <x:c r="G37" s="11"/>
      <x:c r="H37" s="19" t="str">
        <x:v>Se requieren 30 registros únicos y completos.</x:v>
      </x:c>
      <x:c r="I37" s="20" t="n">
        <x:f>COUNTIF(I5:I34,"Válido")</x:f>
        <x:v>30</x:v>
      </x:c>
    </x:row>
    <x:row r="38" ht="40" customHeight="1">
      <x:c r="A38" s="18" t="str">
        <x:v>Momento</x:v>
      </x:c>
      <x:c r="B38" s="18" t="str">
        <x:v>Media A</x:v>
      </x:c>
      <x:c r="C38" s="18" t="str">
        <x:v>Media B</x:v>
      </x:c>
      <x:c r="D38" s="18" t="str">
        <x:v>Diferencia B menos A</x:v>
      </x:c>
      <x:c r="E38" s="18" t="str">
        <x:v>Registros A</x:v>
      </x:c>
      <x:c r="F38" s="18" t="str">
        <x:v>Registros B</x:v>
      </x:c>
      <x:c r="G38" s="11"/>
      <x:c r="H38" s="11"/>
      <x:c r="I38" s="11"/>
    </x:row>
    <x:row r="39" ht="26" customHeight="1">
      <x:c r="A39" s="11" t="str">
        <x:v>M1</x:v>
      </x:c>
      <x:c r="B39" s="24" t="n">
        <x:f>IF($I$37&lt;&gt;30,NA(),AVERAGEIFS($D$5:$D$34,$B$5:$B$34,"A_original",$C$5:$C$34,A39))</x:f>
        <x:v>-0.6666666666666666</x:v>
      </x:c>
      <x:c r="C39" s="24" t="n">
        <x:f>IF($I$37&lt;&gt;30,NA(),AVERAGEIFS($D$5:$D$34,$B$5:$B$34,"B_rediseno",$C$5:$C$34,A39))</x:f>
        <x:v>1</x:v>
      </x:c>
      <x:c r="D39" s="24" t="n">
        <x:f>C39-B39</x:f>
        <x:v>1.6666666666666665</x:v>
      </x:c>
      <x:c r="E39" s="22" t="n">
        <x:f>COUNTIFS($B$5:$B$34,"A_original",$C$5:$C$34,A39)</x:f>
        <x:v>3</x:v>
      </x:c>
      <x:c r="F39" s="22" t="n">
        <x:f>COUNTIFS($B$5:$B$34,"B_rediseno",$C$5:$C$34,A39)</x:f>
        <x:v>3</x:v>
      </x:c>
      <x:c r="G39" s="11"/>
      <x:c r="H39" s="11"/>
      <x:c r="I39" s="11"/>
    </x:row>
    <x:row r="40" ht="26" customHeight="1">
      <x:c r="A40" s="11" t="str">
        <x:v>M2</x:v>
      </x:c>
      <x:c r="B40" s="24" t="n">
        <x:f>IF($I$37&lt;&gt;30,NA(),AVERAGEIFS($D$5:$D$34,$B$5:$B$34,"A_original",$C$5:$C$34,A40))</x:f>
        <x:v>-1.3333333333333333</x:v>
      </x:c>
      <x:c r="C40" s="24" t="n">
        <x:f>IF($I$37&lt;&gt;30,NA(),AVERAGEIFS($D$5:$D$34,$B$5:$B$34,"B_rediseno",$C$5:$C$34,A40))</x:f>
        <x:v>1.3333333333333333</x:v>
      </x:c>
      <x:c r="D40" s="24" t="n">
        <x:f>C40-B40</x:f>
        <x:v>2.6666666666666665</x:v>
      </x:c>
      <x:c r="E40" s="22" t="n">
        <x:f>COUNTIFS($B$5:$B$34,"A_original",$C$5:$C$34,A40)</x:f>
        <x:v>3</x:v>
      </x:c>
      <x:c r="F40" s="22" t="n">
        <x:f>COUNTIFS($B$5:$B$34,"B_rediseno",$C$5:$C$34,A40)</x:f>
        <x:v>3</x:v>
      </x:c>
      <x:c r="G40" s="11"/>
      <x:c r="H40" s="11"/>
      <x:c r="I40" s="11"/>
    </x:row>
    <x:row r="41" ht="26" customHeight="1">
      <x:c r="A41" s="11" t="str">
        <x:v>M3</x:v>
      </x:c>
      <x:c r="B41" s="24" t="n">
        <x:f>IF($I$37&lt;&gt;30,NA(),AVERAGEIFS($D$5:$D$34,$B$5:$B$34,"A_original",$C$5:$C$34,A41))</x:f>
        <x:v>-2.3333333333333335</x:v>
      </x:c>
      <x:c r="C41" s="24" t="n">
        <x:f>IF($I$37&lt;&gt;30,NA(),AVERAGEIFS($D$5:$D$34,$B$5:$B$34,"B_rediseno",$C$5:$C$34,A41))</x:f>
        <x:v>0</x:v>
      </x:c>
      <x:c r="D41" s="24" t="n">
        <x:f>C41-B41</x:f>
        <x:v>2.3333333333333335</x:v>
      </x:c>
      <x:c r="E41" s="22" t="n">
        <x:f>COUNTIFS($B$5:$B$34,"A_original",$C$5:$C$34,A41)</x:f>
        <x:v>3</x:v>
      </x:c>
      <x:c r="F41" s="22" t="n">
        <x:f>COUNTIFS($B$5:$B$34,"B_rediseno",$C$5:$C$34,A41)</x:f>
        <x:v>3</x:v>
      </x:c>
      <x:c r="G41" s="11"/>
      <x:c r="H41" s="11"/>
      <x:c r="I41" s="11"/>
    </x:row>
    <x:row r="42" ht="26" customHeight="1">
      <x:c r="A42" s="11" t="str">
        <x:v>M4</x:v>
      </x:c>
      <x:c r="B42" s="24" t="n">
        <x:f>IF($I$37&lt;&gt;30,NA(),AVERAGEIFS($D$5:$D$34,$B$5:$B$34,"A_original",$C$5:$C$34,A42))</x:f>
        <x:v>-1.6666666666666667</x:v>
      </x:c>
      <x:c r="C42" s="24" t="n">
        <x:f>IF($I$37&lt;&gt;30,NA(),AVERAGEIFS($D$5:$D$34,$B$5:$B$34,"B_rediseno",$C$5:$C$34,A42))</x:f>
        <x:v>1.6666666666666667</x:v>
      </x:c>
      <x:c r="D42" s="24" t="n">
        <x:f>C42-B42</x:f>
        <x:v>3.3333333333333335</x:v>
      </x:c>
      <x:c r="E42" s="22" t="n">
        <x:f>COUNTIFS($B$5:$B$34,"A_original",$C$5:$C$34,A42)</x:f>
        <x:v>3</x:v>
      </x:c>
      <x:c r="F42" s="22" t="n">
        <x:f>COUNTIFS($B$5:$B$34,"B_rediseno",$C$5:$C$34,A42)</x:f>
        <x:v>3</x:v>
      </x:c>
      <x:c r="G42" s="11"/>
      <x:c r="H42" s="11"/>
      <x:c r="I42" s="11"/>
    </x:row>
    <x:row r="43" ht="26" customHeight="1">
      <x:c r="A43" s="11" t="str">
        <x:v>M5</x:v>
      </x:c>
      <x:c r="B43" s="24" t="n">
        <x:f>IF($I$37&lt;&gt;30,NA(),AVERAGEIFS($D$5:$D$34,$B$5:$B$34,"A_original",$C$5:$C$34,A43))</x:f>
        <x:v>-0.6666666666666666</x:v>
      </x:c>
      <x:c r="C43" s="24" t="n">
        <x:f>IF($I$37&lt;&gt;30,NA(),AVERAGEIFS($D$5:$D$34,$B$5:$B$34,"B_rediseno",$C$5:$C$34,A43))</x:f>
        <x:v>1.3333333333333333</x:v>
      </x:c>
      <x:c r="D43" s="24" t="n">
        <x:f>C43-B43</x:f>
        <x:v>2</x:v>
      </x:c>
      <x:c r="E43" s="22" t="n">
        <x:f>COUNTIFS($B$5:$B$34,"A_original",$C$5:$C$34,A43)</x:f>
        <x:v>3</x:v>
      </x:c>
      <x:c r="F43" s="22" t="n">
        <x:f>COUNTIFS($B$5:$B$34,"B_rediseno",$C$5:$C$34,A43)</x:f>
        <x:v>3</x:v>
      </x:c>
      <x:c r="G43" s="11"/>
      <x:c r="H43" s="11"/>
      <x:c r="I43" s="11"/>
    </x:row>
    <x:row r="44" ht="26" customHeight="1">
      <x:c r="A44" s="28" t="str">
        <x:v>Media global</x:v>
      </x:c>
      <x:c r="B44" s="29" t="n">
        <x:f>IF($I$37&lt;&gt;30,NA(),AVERAGEIF($B$5:$B$34,"A_original",$D$5:$D$34))</x:f>
        <x:v>-1.3333333333333333</x:v>
      </x:c>
      <x:c r="C44" s="29" t="n">
        <x:f>IF($I$37&lt;&gt;30,NA(),AVERAGEIF($B$5:$B$34,"B_rediseno",$D$5:$D$34))</x:f>
        <x:v>1.0666666666666667</x:v>
      </x:c>
      <x:c r="D44" s="29" t="n">
        <x:f>C44-B44</x:f>
        <x:v>2.4</x:v>
      </x:c>
      <x:c r="E44" s="30" t="n">
        <x:f>COUNTIF($B$5:$B$34,"A_original")</x:f>
        <x:v>15</x:v>
      </x:c>
      <x:c r="F44" s="30" t="n">
        <x:f>COUNTIF($B$5:$B$34,"B_rediseno")</x:f>
        <x:v>15</x:v>
      </x:c>
      <x:c r="G44" s="11"/>
      <x:c r="H44" s="11"/>
      <x:c r="I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>
      <x:c r="A46" s="23" t="str">
        <x:v>Resumen por código de participante</x:v>
      </x:c>
      <x:c r="B46" s="23"/>
      <x:c r="C46" s="23"/>
      <x:c r="D46" s="23"/>
      <x:c r="E46" s="23"/>
      <x:c r="F46" s="23"/>
      <x:c r="G46" s="11"/>
      <x:c r="H46" s="11"/>
      <x:c r="I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 ht="40" customHeight="1">
      <x:c r="A48" s="18" t="str">
        <x:v>Participante</x:v>
      </x:c>
      <x:c r="B48" s="18" t="str">
        <x:v>Media A</x:v>
      </x:c>
      <x:c r="C48" s="18" t="str">
        <x:v>Media B</x:v>
      </x:c>
      <x:c r="D48" s="18" t="str">
        <x:v>Diferencia B menos A</x:v>
      </x:c>
      <x:c r="E48" s="11"/>
      <x:c r="F48" s="11"/>
      <x:c r="G48" s="11"/>
      <x:c r="H48" s="11"/>
      <x:c r="I48" s="11"/>
    </x:row>
    <x:row r="49" ht="26" customHeight="1">
      <x:c r="A49" s="11" t="str">
        <x:v>P1</x:v>
      </x:c>
      <x:c r="B49" s="24" t="n">
        <x:f>IF($I$37&lt;&gt;30,NA(),AVERAGEIFS($D$5:$D$34,$B$5:$B$34,"A_original",$A$5:$A$34,A49))</x:f>
        <x:v>-1.8</x:v>
      </x:c>
      <x:c r="C49" s="24" t="n">
        <x:f>IF($I$37&lt;&gt;30,NA(),AVERAGEIFS($D$5:$D$34,$B$5:$B$34,"B_rediseno",$A$5:$A$34,A49))</x:f>
        <x:v>1</x:v>
      </x:c>
      <x:c r="D49" s="24" t="n">
        <x:f>C49-B49</x:f>
        <x:v>2.8</x:v>
      </x:c>
      <x:c r="E49" s="11"/>
      <x:c r="F49" s="11"/>
      <x:c r="G49" s="11"/>
      <x:c r="H49" s="11"/>
      <x:c r="I49" s="11"/>
    </x:row>
    <x:row r="50" ht="26" customHeight="1">
      <x:c r="A50" s="11" t="str">
        <x:v>P2</x:v>
      </x:c>
      <x:c r="B50" s="24" t="n">
        <x:f>IF($I$37&lt;&gt;30,NA(),AVERAGEIFS($D$5:$D$34,$B$5:$B$34,"A_original",$A$5:$A$34,A50))</x:f>
        <x:v>-0.8</x:v>
      </x:c>
      <x:c r="C50" s="24" t="n">
        <x:f>IF($I$37&lt;&gt;30,NA(),AVERAGEIFS($D$5:$D$34,$B$5:$B$34,"B_rediseno",$A$5:$A$34,A50))</x:f>
        <x:v>1.6</x:v>
      </x:c>
      <x:c r="D50" s="24" t="n">
        <x:f>C50-B50</x:f>
        <x:v>2.4000000000000004</x:v>
      </x:c>
      <x:c r="E50" s="11"/>
      <x:c r="F50" s="11"/>
      <x:c r="G50" s="11"/>
      <x:c r="H50" s="11"/>
      <x:c r="I50" s="11"/>
    </x:row>
    <x:row r="51" ht="26" customHeight="1">
      <x:c r="A51" s="11" t="str">
        <x:v>P3</x:v>
      </x:c>
      <x:c r="B51" s="24" t="n">
        <x:f>IF($I$37&lt;&gt;30,NA(),AVERAGEIFS($D$5:$D$34,$B$5:$B$34,"A_original",$A$5:$A$34,A51))</x:f>
        <x:v>-1.4</x:v>
      </x:c>
      <x:c r="C51" s="24" t="n">
        <x:f>IF($I$37&lt;&gt;30,NA(),AVERAGEIFS($D$5:$D$34,$B$5:$B$34,"B_rediseno",$A$5:$A$34,A51))</x:f>
        <x:v>0.6</x:v>
      </x:c>
      <x:c r="D51" s="24" t="n">
        <x:f>C51-B51</x:f>
        <x:v>2</x:v>
      </x:c>
      <x:c r="E51" s="11"/>
      <x:c r="F51" s="11"/>
      <x:c r="G51" s="11"/>
      <x:c r="H51" s="11"/>
      <x:c r="I51" s="11"/>
    </x:row>
  </x:sheetData>
  <x:mergeCells>
    <x:mergeCell ref="A1:I1"/>
    <x:mergeCell ref="A2:I2"/>
    <x:mergeCell ref="A36:F36"/>
    <x:mergeCell ref="A46:F46"/>
  </x:mergeCells>
  <x:conditionalFormatting sqref="I5:I34">
    <x:cfRule type="containsText" dxfId="0" priority="1" operator="containsText" text="Revisar"/>
  </x:conditionalFormatting>
  <x:dataValidations count="4">
    <x:dataValidation type="whole" operator="between" sqref="D5:D34">
      <x:formula1>-3</x:formula1>
      <x:formula2>3</x:formula2>
    </x:dataValidation>
    <x:dataValidation type="list" sqref="A5:A34">
      <x:formula1>"P1,P2,P3"</x:formula1>
    </x:dataValidation>
    <x:dataValidation type="list" sqref="B5:B34">
      <x:formula1>"A_original,B_rediseno"</x:formula1>
    </x:dataValidation>
    <x:dataValidation type="list" sqref="C5:C34">
      <x:formula1>"M1,M2,M3,M4,M5"</x:formula1>
    </x:dataValidation>
  </x:dataValidations>
  <x:pageMargins left="0.7" right="0.7" top="0.75" bottom="0.75" header="0.3" footer="0.3"/>
</x:worksheet>
</file>